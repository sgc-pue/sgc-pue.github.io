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hidePivotFieldList="1"/>
  <mc:AlternateContent xmlns:mc="http://schemas.openxmlformats.org/markup-compatibility/2006">
    <mc:Choice Requires="x15">
      <x15ac:absPath xmlns:x15ac="http://schemas.microsoft.com/office/spreadsheetml/2010/11/ac" url="https://inemexico-my.sharepoint.com/personal/jorge_olvera_ine_mx/Documents/ISO9001/2021/Documentos Validados/Foda (Plan Estratégico)/"/>
    </mc:Choice>
  </mc:AlternateContent>
  <xr:revisionPtr revIDLastSave="3" documentId="13_ncr:1_{74E4970F-406E-4AFC-9C0D-2B2AAD309591}" xr6:coauthVersionLast="46" xr6:coauthVersionMax="46" xr10:uidLastSave="{1AEB5F77-6818-4D72-8F7E-4FB1749EA6C7}"/>
  <bookViews>
    <workbookView xWindow="-132" yWindow="-132" windowWidth="23304" windowHeight="12624" tabRatio="784" activeTab="6" xr2:uid="{00000000-000D-0000-FFFF-FFFF00000000}"/>
  </bookViews>
  <sheets>
    <sheet name="INDICE" sheetId="38" r:id="rId1"/>
    <sheet name="INTRO" sheetId="39" r:id="rId2"/>
    <sheet name="1a. Misión, Visión" sheetId="40" r:id="rId3"/>
    <sheet name="1b. Política y Objetivos" sheetId="41" r:id="rId4"/>
    <sheet name="1c. Alcance del SGC" sheetId="61" r:id="rId5"/>
    <sheet name="2a. Análisis Foda" sheetId="59" r:id="rId6"/>
    <sheet name="2b. Matriz Posicionamiento" sheetId="60" r:id="rId7"/>
    <sheet name="3a.Matríz de Partes Interesadas" sheetId="54" r:id="rId8"/>
    <sheet name="4a. Parámetros de riesgo" sheetId="32" r:id="rId9"/>
    <sheet name="4b. Matriz - Contexto" sheetId="20" r:id="rId10"/>
    <sheet name="Perfiles" sheetId="49" state="hidden" r:id="rId11"/>
    <sheet name="Ponderación" sheetId="7" state="hidden" r:id="rId12"/>
  </sheets>
  <externalReferences>
    <externalReference r:id="rId13"/>
    <externalReference r:id="rId14"/>
    <externalReference r:id="rId15"/>
    <externalReference r:id="rId16"/>
  </externalReferences>
  <definedNames>
    <definedName name="AMENAZARAS" localSheetId="4">[1]CÁLCULOS!$B$29:$B$30</definedName>
    <definedName name="AMENAZARAS">[1]CÁLCULOS!$B$29:$B$30</definedName>
    <definedName name="_xlnm.Print_Area" localSheetId="2">'1a. Misión, Visión'!$A$1:$J$22</definedName>
    <definedName name="_xlnm.Print_Area" localSheetId="3">'1b. Política y Objetivos'!$A$1:$O$17</definedName>
    <definedName name="_xlnm.Print_Area" localSheetId="4">'1c. Alcance del SGC'!$A$1:$O$48</definedName>
    <definedName name="_xlnm.Print_Area" localSheetId="5">'2a. Análisis Foda'!$A$1:$Y$39</definedName>
    <definedName name="_xlnm.Print_Area" localSheetId="6">'2b. Matriz Posicionamiento'!$A$1:$BR$37</definedName>
    <definedName name="_xlnm.Print_Area" localSheetId="7">'3a.Matríz de Partes Interesadas'!$A$1:$F$24</definedName>
    <definedName name="_xlnm.Print_Area" localSheetId="0">INDICE!$A$1:$L$26</definedName>
    <definedName name="_xlnm.Print_Area" localSheetId="1">INTRO!$A$1:$O$20</definedName>
    <definedName name="arriba3d" localSheetId="4">#REF!</definedName>
    <definedName name="arriba3d">#REF!</definedName>
    <definedName name="ARRIBA4A" localSheetId="4">#REF!</definedName>
    <definedName name="ARRIBA4A">#REF!</definedName>
    <definedName name="ARRIBADOSA" localSheetId="4">#REF!</definedName>
    <definedName name="ARRIBADOSA">#REF!</definedName>
    <definedName name="ARRIBADOSABE" localSheetId="4">#REF!</definedName>
    <definedName name="ARRIBADOSABE">#REF!</definedName>
    <definedName name="ARRIBADUOSAAA" localSheetId="4">'[2]1a. Misión, Visión'!#REF!</definedName>
    <definedName name="ARRIBADUOSAAA">'[2]1a. Misión, Visión'!#REF!</definedName>
    <definedName name="ARRIBAFACTCLAU" localSheetId="4">#REF!</definedName>
    <definedName name="ARRIBAFACTCLAU">#REF!</definedName>
    <definedName name="ARRIBAIMPRIMIR" localSheetId="4">#REF!</definedName>
    <definedName name="ARRIBAIMPRIMIR">#REF!</definedName>
    <definedName name="BUSCARMES" localSheetId="4">#REF!</definedName>
    <definedName name="BUSCARMES">#REF!</definedName>
    <definedName name="DEBILIDAD" localSheetId="4">#REF!</definedName>
    <definedName name="DEBILIDAD">#REF!</definedName>
    <definedName name="ESTRATEGIA" localSheetId="4">#REF!</definedName>
    <definedName name="ESTRATEGIA">#REF!</definedName>
    <definedName name="EXTERNAS" localSheetId="4">#REF!</definedName>
    <definedName name="EXTERNAS">#REF!</definedName>
    <definedName name="FLUJODECAJA" localSheetId="4">#REF!</definedName>
    <definedName name="FLUJODECAJA">#REF!</definedName>
    <definedName name="FORTALEZAS" localSheetId="4">#REF!</definedName>
    <definedName name="FORTALEZAS">#REF!</definedName>
    <definedName name="GRAFIK2a6" localSheetId="4">#REF!</definedName>
    <definedName name="GRAFIK2a6">#REF!</definedName>
    <definedName name="INDICE" localSheetId="4">[2]INDICE!#REF!</definedName>
    <definedName name="INDICE">[2]INDICE!#REF!</definedName>
    <definedName name="INFO2a6" localSheetId="4">#REF!</definedName>
    <definedName name="INFO2a6">#REF!</definedName>
    <definedName name="INFO2E" localSheetId="4">#REF!</definedName>
    <definedName name="INFO2E">#REF!</definedName>
    <definedName name="INFO2F" localSheetId="4">#REF!</definedName>
    <definedName name="INFO2F">#REF!</definedName>
    <definedName name="INFO2G" localSheetId="4">#REF!</definedName>
    <definedName name="INFO2G">#REF!</definedName>
    <definedName name="INFO3A" localSheetId="4">#REF!</definedName>
    <definedName name="INFO3A">#REF!</definedName>
    <definedName name="INFO3B" localSheetId="4">#REF!</definedName>
    <definedName name="INFO3B">#REF!</definedName>
    <definedName name="info3ce" localSheetId="4">#REF!</definedName>
    <definedName name="info3ce">#REF!</definedName>
    <definedName name="INFO4A" localSheetId="4">#REF!</definedName>
    <definedName name="INFO4A">#REF!</definedName>
    <definedName name="INFOADL" localSheetId="4">#REF!</definedName>
    <definedName name="INFOADL">#REF!</definedName>
    <definedName name="infoBCG" localSheetId="4">#REF!</definedName>
    <definedName name="infoBCG">#REF!</definedName>
    <definedName name="INFODOSA" localSheetId="4">#REF!</definedName>
    <definedName name="INFODOSA">#REF!</definedName>
    <definedName name="INFODOSABE" localSheetId="4">#REF!</definedName>
    <definedName name="INFODOSABE">#REF!</definedName>
    <definedName name="INFODOSBE" localSheetId="4">#REF!</definedName>
    <definedName name="INFODOSBE">#REF!</definedName>
    <definedName name="INFODUOSAAA" localSheetId="4">'[2]1a. Misión, Visión'!#REF!</definedName>
    <definedName name="INFODUOSAAA">'[2]1a. Misión, Visión'!#REF!</definedName>
    <definedName name="INFOINDICE" localSheetId="4">[2]INDICE!#REF!</definedName>
    <definedName name="INFOINDICE">[2]INDICE!#REF!</definedName>
    <definedName name="INFOPLAN" localSheetId="4">[2]INDICE!#REF!</definedName>
    <definedName name="INFOPLAN">[2]INDICE!#REF!</definedName>
    <definedName name="INFOSTRATEGICPLAN" localSheetId="4">[2]INDICE!#REF!</definedName>
    <definedName name="INFOSTRATEGICPLAN">[2]INDICE!#REF!</definedName>
    <definedName name="INFOUNOBE" localSheetId="4">#REF!</definedName>
    <definedName name="INFOUNOBE">#REF!</definedName>
    <definedName name="INFOUNOCE" localSheetId="4">#REF!</definedName>
    <definedName name="INFOUNOCE">#REF!</definedName>
    <definedName name="INTENSIDAD" localSheetId="4">[1]CÁLCULOS!$B$22:$B$26</definedName>
    <definedName name="INTENSIDAD">[1]CÁLCULOS!$B$22:$B$26</definedName>
    <definedName name="INVERSION" localSheetId="4">#REF!</definedName>
    <definedName name="INVERSION">#REF!</definedName>
    <definedName name="Menor" localSheetId="11">"Severidad"</definedName>
    <definedName name="Naturaleza" localSheetId="4">[3]Ponderación!$A$2:$B$11</definedName>
    <definedName name="Naturaleza" localSheetId="8">[4]Ponderación!$A$2:$B$8</definedName>
    <definedName name="Naturaleza">Ponderación!$A$2:$B$11</definedName>
    <definedName name="nomeses" localSheetId="4">#REF!</definedName>
    <definedName name="nomeses">#REF!</definedName>
    <definedName name="NUMES" localSheetId="4">#REF!</definedName>
    <definedName name="NUMES">#REF!</definedName>
    <definedName name="PESTPEST" localSheetId="4">'[1]3a'!#REF!</definedName>
    <definedName name="PESTPEST">'[1]3a'!#REF!</definedName>
    <definedName name="PLANNINGSALES" localSheetId="4">[2]INDICE!#REF!</definedName>
    <definedName name="PLANNINGSALES">[2]INDICE!#REF!</definedName>
    <definedName name="PONERDATOS" localSheetId="4">#REF!</definedName>
    <definedName name="PONERDATOS">#REF!</definedName>
    <definedName name="Probabilidad" localSheetId="4">[3]Ponderación!$D$2:$E$4</definedName>
    <definedName name="Probabilidad" localSheetId="8">[4]Ponderación!$D$2:$E$4</definedName>
    <definedName name="Probabilidad">Ponderación!$D$2:$E$4</definedName>
    <definedName name="PUBLICIDAD">[2]INDICE!#REF!</definedName>
    <definedName name="Severidad" localSheetId="4">[3]Ponderación!$G$2:$H$5</definedName>
    <definedName name="Severidad" localSheetId="8">[4]Ponderación!$G$2:$H$4</definedName>
    <definedName name="Severidad">Ponderación!$G$2:$H$5</definedName>
    <definedName name="trescece" localSheetId="4">#REF!</definedName>
    <definedName name="tresce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1" i="20" l="1"/>
  <c r="B49" i="20" l="1"/>
  <c r="B50" i="20"/>
  <c r="B42" i="20"/>
  <c r="B43" i="20"/>
  <c r="B44" i="20"/>
  <c r="B45" i="20"/>
  <c r="B46" i="20"/>
  <c r="B47" i="20"/>
  <c r="B48" i="20"/>
  <c r="I31" i="59"/>
  <c r="B40" i="20"/>
  <c r="B38" i="20"/>
  <c r="B39" i="20"/>
  <c r="B36" i="20"/>
  <c r="B37" i="20"/>
  <c r="B32" i="20"/>
  <c r="B33" i="20"/>
  <c r="B34" i="20"/>
  <c r="B35" i="20"/>
  <c r="B31" i="20"/>
  <c r="B30" i="20"/>
  <c r="B27" i="20"/>
  <c r="B28" i="20"/>
  <c r="B29" i="20"/>
  <c r="B22" i="20"/>
  <c r="B23" i="20"/>
  <c r="B24" i="20"/>
  <c r="B25" i="20"/>
  <c r="B26" i="20"/>
  <c r="B21" i="20"/>
  <c r="B20" i="20"/>
  <c r="B18" i="20"/>
  <c r="B19" i="20"/>
  <c r="B16" i="20"/>
  <c r="B17" i="20"/>
  <c r="B12" i="20"/>
  <c r="B13" i="20"/>
  <c r="B14" i="20"/>
  <c r="B15" i="20"/>
  <c r="B11" i="20"/>
  <c r="S31" i="59"/>
  <c r="S30" i="59"/>
  <c r="I30" i="59"/>
  <c r="S29" i="59"/>
  <c r="I29" i="59"/>
  <c r="S28" i="59"/>
  <c r="I28" i="59"/>
  <c r="S27" i="59"/>
  <c r="I27" i="59"/>
  <c r="S26" i="59"/>
  <c r="I26" i="59"/>
  <c r="S25" i="59"/>
  <c r="I25" i="59"/>
  <c r="S24" i="59"/>
  <c r="I24" i="59"/>
  <c r="S23" i="59"/>
  <c r="I23" i="59"/>
  <c r="S22" i="59"/>
  <c r="I22" i="59"/>
  <c r="S18" i="59"/>
  <c r="I18" i="59"/>
  <c r="S17" i="59"/>
  <c r="I17" i="59"/>
  <c r="S16" i="59"/>
  <c r="I16" i="59"/>
  <c r="S15" i="59"/>
  <c r="I15" i="59"/>
  <c r="S14" i="59"/>
  <c r="I14" i="59"/>
  <c r="S13" i="59"/>
  <c r="I13" i="59"/>
  <c r="S12" i="59"/>
  <c r="I12" i="59"/>
  <c r="S11" i="59"/>
  <c r="I11" i="59"/>
  <c r="S10" i="59"/>
  <c r="I10" i="59"/>
  <c r="S9" i="59"/>
  <c r="I9" i="59"/>
  <c r="I32" i="59" l="1"/>
  <c r="J32" i="59" s="1"/>
  <c r="S19" i="59"/>
  <c r="T19" i="59" s="1"/>
  <c r="S32" i="59"/>
  <c r="T32" i="59" s="1"/>
  <c r="I19" i="59"/>
  <c r="J19" i="59" s="1"/>
  <c r="M39" i="59" l="1"/>
  <c r="W32" i="59" s="1"/>
  <c r="M38" i="59"/>
  <c r="U19" i="59" s="1"/>
  <c r="R43" i="20"/>
  <c r="S43" i="20" s="1"/>
  <c r="T43" i="20" s="1"/>
  <c r="U43" i="20" s="1"/>
  <c r="R44" i="20"/>
  <c r="S44" i="20" s="1"/>
  <c r="T44" i="20" s="1"/>
  <c r="U44" i="20" s="1"/>
  <c r="R45" i="20"/>
  <c r="S45" i="20" s="1"/>
  <c r="T45" i="20" s="1"/>
  <c r="U45" i="20" s="1"/>
  <c r="R46" i="20"/>
  <c r="S46" i="20" s="1"/>
  <c r="T46" i="20" s="1"/>
  <c r="U46" i="20" s="1"/>
  <c r="R47" i="20"/>
  <c r="S47" i="20" s="1"/>
  <c r="T47" i="20" s="1"/>
  <c r="U47" i="20" s="1"/>
  <c r="R48" i="20"/>
  <c r="S48" i="20" s="1"/>
  <c r="T48" i="20" s="1"/>
  <c r="U48" i="20" s="1"/>
  <c r="R49" i="20"/>
  <c r="S49" i="20" s="1"/>
  <c r="T49" i="20" s="1"/>
  <c r="U49" i="20" s="1"/>
  <c r="R50" i="20"/>
  <c r="S50" i="20" s="1"/>
  <c r="T50" i="20" s="1"/>
  <c r="U50" i="20" s="1"/>
  <c r="W19" i="59" l="1"/>
  <c r="O37" i="59" s="1"/>
  <c r="N37" i="59" s="1"/>
  <c r="AU35" i="60" s="1"/>
  <c r="BN35" i="60" s="1"/>
  <c r="U32" i="59"/>
  <c r="O36" i="59" s="1"/>
  <c r="N36" i="59" s="1"/>
  <c r="AU34" i="60" s="1"/>
  <c r="BN34" i="60" s="1"/>
  <c r="R11" i="20"/>
  <c r="AU9" i="60" l="1"/>
  <c r="BR15" i="60"/>
  <c r="AB13" i="60" s="1"/>
  <c r="AU13" i="60" s="1"/>
  <c r="AC9" i="60"/>
  <c r="H19" i="40"/>
  <c r="B19" i="40" l="1"/>
  <c r="H16" i="40" l="1"/>
  <c r="B16" i="40"/>
  <c r="B6" i="40"/>
  <c r="B11" i="40"/>
  <c r="H6" i="40"/>
  <c r="H11" i="40"/>
  <c r="R25" i="20" l="1"/>
  <c r="S25" i="20" s="1"/>
  <c r="T25" i="20" s="1"/>
  <c r="U25" i="20" s="1"/>
  <c r="R18" i="20" l="1"/>
  <c r="S18" i="20" s="1"/>
  <c r="T18" i="20" s="1"/>
  <c r="U18" i="20" s="1"/>
  <c r="S11" i="20" l="1"/>
  <c r="T11" i="20" s="1"/>
  <c r="U11" i="20" s="1"/>
  <c r="R42" i="20" l="1"/>
  <c r="S42" i="20" s="1"/>
  <c r="T42" i="20" s="1"/>
  <c r="U42" i="20" s="1"/>
  <c r="R41" i="20"/>
  <c r="S41" i="20" s="1"/>
  <c r="T41" i="20" s="1"/>
  <c r="U41" i="20" s="1"/>
  <c r="R40" i="20"/>
  <c r="S40" i="20" s="1"/>
  <c r="T40" i="20" s="1"/>
  <c r="U40" i="20" s="1"/>
  <c r="R39" i="20"/>
  <c r="S39" i="20" s="1"/>
  <c r="T39" i="20" s="1"/>
  <c r="U39" i="20" s="1"/>
  <c r="R38" i="20"/>
  <c r="S38" i="20" s="1"/>
  <c r="T38" i="20" s="1"/>
  <c r="U38" i="20" s="1"/>
  <c r="R37" i="20"/>
  <c r="S37" i="20" s="1"/>
  <c r="T37" i="20" s="1"/>
  <c r="U37" i="20" s="1"/>
  <c r="R36" i="20"/>
  <c r="S36" i="20" s="1"/>
  <c r="T36" i="20" s="1"/>
  <c r="U36" i="20" s="1"/>
  <c r="R35" i="20"/>
  <c r="S35" i="20" s="1"/>
  <c r="T35" i="20" s="1"/>
  <c r="U35" i="20" s="1"/>
  <c r="R34" i="20"/>
  <c r="S34" i="20" s="1"/>
  <c r="T34" i="20" s="1"/>
  <c r="U34" i="20" s="1"/>
  <c r="R33" i="20"/>
  <c r="S33" i="20" s="1"/>
  <c r="T33" i="20" s="1"/>
  <c r="U33" i="20" s="1"/>
  <c r="R32" i="20"/>
  <c r="S32" i="20" s="1"/>
  <c r="T32" i="20" s="1"/>
  <c r="U32" i="20" s="1"/>
  <c r="R31" i="20"/>
  <c r="S31" i="20" s="1"/>
  <c r="T31" i="20" s="1"/>
  <c r="U31" i="20" s="1"/>
  <c r="R30" i="20"/>
  <c r="S30" i="20" s="1"/>
  <c r="T30" i="20" s="1"/>
  <c r="U30" i="20" s="1"/>
  <c r="R29" i="20"/>
  <c r="S29" i="20" s="1"/>
  <c r="T29" i="20" s="1"/>
  <c r="U29" i="20" s="1"/>
  <c r="R28" i="20"/>
  <c r="S28" i="20" s="1"/>
  <c r="T28" i="20" s="1"/>
  <c r="U28" i="20" s="1"/>
  <c r="R27" i="20"/>
  <c r="S27" i="20" s="1"/>
  <c r="T27" i="20" s="1"/>
  <c r="U27" i="20" s="1"/>
  <c r="R26" i="20"/>
  <c r="S26" i="20" s="1"/>
  <c r="T26" i="20" s="1"/>
  <c r="U26" i="20" s="1"/>
  <c r="R24" i="20"/>
  <c r="S24" i="20" s="1"/>
  <c r="T24" i="20" s="1"/>
  <c r="U24" i="20" s="1"/>
  <c r="R23" i="20"/>
  <c r="S23" i="20" s="1"/>
  <c r="T23" i="20" s="1"/>
  <c r="U23" i="20" s="1"/>
  <c r="R22" i="20"/>
  <c r="S22" i="20" s="1"/>
  <c r="T22" i="20" s="1"/>
  <c r="U22" i="20" s="1"/>
  <c r="R21" i="20"/>
  <c r="S21" i="20" s="1"/>
  <c r="T21" i="20" s="1"/>
  <c r="U21" i="20" s="1"/>
  <c r="R20" i="20"/>
  <c r="S20" i="20" s="1"/>
  <c r="T20" i="20" s="1"/>
  <c r="U20" i="20" s="1"/>
  <c r="R19" i="20"/>
  <c r="S19" i="20" s="1"/>
  <c r="T19" i="20" s="1"/>
  <c r="U19" i="20" s="1"/>
  <c r="R17" i="20"/>
  <c r="S17" i="20" s="1"/>
  <c r="T17" i="20" s="1"/>
  <c r="U17" i="20" s="1"/>
  <c r="R16" i="20"/>
  <c r="S16" i="20" s="1"/>
  <c r="T16" i="20" s="1"/>
  <c r="U16" i="20" s="1"/>
  <c r="R15" i="20"/>
  <c r="S15" i="20" s="1"/>
  <c r="T15" i="20" s="1"/>
  <c r="U15" i="20" s="1"/>
  <c r="R14" i="20"/>
  <c r="S14" i="20" s="1"/>
  <c r="T14" i="20" s="1"/>
  <c r="U14" i="20" s="1"/>
  <c r="R13" i="20"/>
  <c r="S13" i="20" s="1"/>
  <c r="T13" i="20" s="1"/>
  <c r="U13" i="20" s="1"/>
  <c r="R12" i="20"/>
  <c r="S12" i="20" s="1"/>
  <c r="T12" i="20" s="1"/>
  <c r="U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Cuevas Medina</author>
  </authors>
  <commentList>
    <comment ref="B8" authorId="0" shapeId="0" xr:uid="{00000000-0006-0000-0200-000001000000}">
      <text>
        <r>
          <rPr>
            <b/>
            <sz val="12"/>
            <color indexed="81"/>
            <rFont val="Tahoma"/>
            <family val="2"/>
          </rPr>
          <t xml:space="preserve">Resume aquí la
</t>
        </r>
        <r>
          <rPr>
            <b/>
            <sz val="12"/>
            <color indexed="81"/>
            <rFont val="Arial"/>
            <family val="2"/>
          </rPr>
          <t xml:space="preserve">
MISIÓN de la Organización
Normalmente son muchos menos de 10 puntos y muchas veces se define en una sola frase.
MISIÓN: es la razón de existir de la Organización. Responde a:
¿Por qué existimos? ¿Cuál es nuestra razón de ser?
Misión es razón de ser, finalidad, tarea esencial, etc.</t>
        </r>
        <r>
          <rPr>
            <b/>
            <sz val="12"/>
            <color indexed="81"/>
            <rFont val="Tahoma"/>
            <family val="2"/>
          </rPr>
          <t xml:space="preserve">
</t>
        </r>
      </text>
    </comment>
    <comment ref="B13" authorId="0" shapeId="0" xr:uid="{00000000-0006-0000-0200-000002000000}">
      <text>
        <r>
          <rPr>
            <b/>
            <sz val="12"/>
            <color indexed="81"/>
            <rFont val="Arial"/>
            <family val="2"/>
          </rPr>
          <t>VISIÓN de la Organización
Normalmente es una sola frase o unos pocos puntos.
VISIÓN
 ¿Qué queremos llegar a ser? ¿Dónde queremos llegar? 
La visión es la meta que nos proponemos alcanzar, la que da sentido a los esfuerzos que deberemos hacer todos. Toda visión debería incluir al menos una meta ambiciosa a largo plazo, pero también una descripción creíble del futuro. La visión ideal debe poder ser compartible y estimulante para el conjunto, debería ser vista como una oportunidad para el progreso individual de cada uno de los colaboradores.</t>
        </r>
        <r>
          <rPr>
            <b/>
            <sz val="12"/>
            <color indexed="81"/>
            <rFont val="Tahoma"/>
            <family val="2"/>
          </rPr>
          <t xml:space="preserve">
</t>
        </r>
      </text>
    </comment>
    <comment ref="B18" authorId="0" shapeId="0" xr:uid="{00000000-0006-0000-0200-000003000000}">
      <text>
        <r>
          <rPr>
            <b/>
            <sz val="12"/>
            <color indexed="81"/>
            <rFont val="Arial"/>
            <family val="2"/>
          </rPr>
          <t>VALORES de la Organización
Suelen poder definirse en menos de 10 puntos.
Los VALORES
El conjunto de criterios que definen los márgenes del camino que nos llevará a alcanzar las metas de la visión.  Si han sido bien definidos y encajan bien en la realidad de la organización, son muy útiles en la toma de decisiones y en la configuración del estilo de dirección, evitan desviaciones y atajos que podrían tener un alto precio para la compañía.</t>
        </r>
        <r>
          <rPr>
            <b/>
            <sz val="12"/>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tc={AE11CE26-BD75-4CDB-9BAA-D38D84632F2A}</author>
    <author>tc={F426974C-9707-4AB0-95AF-4A91944499DE}</author>
    <author>tc={B8132A9E-6CA5-4D7C-AFD6-27F8CC6481B9}</author>
    <author>tc={564F569F-7F78-430C-ACCE-1D6369E610EE}</author>
  </authors>
  <commentList>
    <comment ref="B24" authorId="0" shapeId="0" xr:uid="{00000000-0006-0000-04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Colocar todos los Modulos fijos y fijos adicionales de la Entidad</t>
      </text>
    </comment>
    <comment ref="E24" authorId="1" shapeId="0" xr:uid="{00000000-0006-0000-04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Colocar dirección de modulos fijos y fijos adicionales</t>
      </text>
    </comment>
    <comment ref="B47" authorId="2" shapeId="0" xr:uid="{00000000-0006-0000-04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Colocar los módulos semifijos de la entidad</t>
      </text>
    </comment>
    <comment ref="B48" authorId="3" shapeId="0" xr:uid="{00000000-0006-0000-04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Colocar los módulos moviles de la entidad</t>
      </text>
    </comment>
  </commentList>
</comments>
</file>

<file path=xl/sharedStrings.xml><?xml version="1.0" encoding="utf-8"?>
<sst xmlns="http://schemas.openxmlformats.org/spreadsheetml/2006/main" count="935" uniqueCount="461">
  <si>
    <t>MODERADO</t>
  </si>
  <si>
    <t>ASUMIRLO</t>
  </si>
  <si>
    <t>VIGILARLO</t>
  </si>
  <si>
    <t>MINIMIZARLO</t>
  </si>
  <si>
    <t>Moderado</t>
  </si>
  <si>
    <t>Operativo</t>
  </si>
  <si>
    <t>Industrial</t>
  </si>
  <si>
    <t>Financiera</t>
  </si>
  <si>
    <t>Político</t>
  </si>
  <si>
    <t>Ambiental</t>
  </si>
  <si>
    <t>Legal y Reglamentario</t>
  </si>
  <si>
    <t>Naturaleza</t>
  </si>
  <si>
    <t>Salud</t>
  </si>
  <si>
    <t>Alta</t>
  </si>
  <si>
    <t>Leve</t>
  </si>
  <si>
    <t>Grave</t>
  </si>
  <si>
    <t>Media</t>
  </si>
  <si>
    <t>Baja</t>
  </si>
  <si>
    <t>0 - 199</t>
  </si>
  <si>
    <t>200 - 399</t>
  </si>
  <si>
    <t>400 - 599</t>
  </si>
  <si>
    <t>600 - 799</t>
  </si>
  <si>
    <t>800 - 1000</t>
  </si>
  <si>
    <t>ATENCIÓN INMEDIATA</t>
  </si>
  <si>
    <t>CONTROLARLO</t>
  </si>
  <si>
    <t>TRIVIAL</t>
  </si>
  <si>
    <t>TOLERABLE</t>
  </si>
  <si>
    <t>IMPORTANTE</t>
  </si>
  <si>
    <t>INTOLERABLE</t>
  </si>
  <si>
    <t>Severidad</t>
  </si>
  <si>
    <t>Oportunidad</t>
  </si>
  <si>
    <t>Debilidad</t>
  </si>
  <si>
    <t>Amenaza</t>
  </si>
  <si>
    <t>Fortaleza</t>
  </si>
  <si>
    <t>OPORTUNIDADES</t>
  </si>
  <si>
    <t xml:space="preserve">1. Fortalezas y Debilidades: </t>
  </si>
  <si>
    <t>D</t>
  </si>
  <si>
    <t xml:space="preserve">a) Dar  1 punto por cada X en desacuerdo </t>
  </si>
  <si>
    <t xml:space="preserve">b) Dar 2 puntos por cada X bajo ni acuerdo o en desacuerdo </t>
  </si>
  <si>
    <t xml:space="preserve">c) Dar 3 puntos por cada X bajo acuerdo </t>
  </si>
  <si>
    <t xml:space="preserve">2. Amenazas y Oportunidades </t>
  </si>
  <si>
    <t>A</t>
  </si>
  <si>
    <t xml:space="preserve">a) Dar 1 punto por cada X bajo No </t>
  </si>
  <si>
    <t>b) Dar 2 puntos por cada X bajo puede ser</t>
  </si>
  <si>
    <t>c) Dar 3 puntos por cada X bajo Sí</t>
  </si>
  <si>
    <t>TIPO DE EFECTO</t>
  </si>
  <si>
    <t>NATURALEZA</t>
  </si>
  <si>
    <t>OCURRENCIA</t>
  </si>
  <si>
    <t>SEVERIDAD</t>
  </si>
  <si>
    <t>CLASIFICACIÓN</t>
  </si>
  <si>
    <t>DICTAMEN</t>
  </si>
  <si>
    <t>CLASIFICACIÓN DEL FODA</t>
  </si>
  <si>
    <t>PROCESOS AFECTADOS / BENEFICIADOS</t>
  </si>
  <si>
    <t>DESCRIPCIÓN DEL RIESGO / OPORTUNIDAD GENERAL</t>
  </si>
  <si>
    <t>NIVEL DE RIESGO / OPORTUNIDAD</t>
  </si>
  <si>
    <t>Operativa</t>
  </si>
  <si>
    <t>Política</t>
  </si>
  <si>
    <t>Económico / Financiero</t>
  </si>
  <si>
    <t>0 - 250</t>
  </si>
  <si>
    <t>LIMITADA</t>
  </si>
  <si>
    <t>A CONSIDERAR</t>
  </si>
  <si>
    <t>251 - 500</t>
  </si>
  <si>
    <t>MEDIA</t>
  </si>
  <si>
    <t>ABORDAR</t>
  </si>
  <si>
    <t>501 - 750</t>
  </si>
  <si>
    <t>POTENCIAL</t>
  </si>
  <si>
    <t>APROPIARSE</t>
  </si>
  <si>
    <t>751 - 1000</t>
  </si>
  <si>
    <t>SOBRESALIENTE</t>
  </si>
  <si>
    <t>EXPLOTARLA</t>
  </si>
  <si>
    <t>DEFINICIONES</t>
  </si>
  <si>
    <t>RIESGOS</t>
  </si>
  <si>
    <t>RANGOS</t>
  </si>
  <si>
    <t>ACCIONES</t>
  </si>
  <si>
    <t>Positivo</t>
  </si>
  <si>
    <t>Y</t>
  </si>
  <si>
    <t>Perfil Agresivo</t>
  </si>
  <si>
    <t>Premisa del Perfil</t>
  </si>
  <si>
    <t>Definición</t>
  </si>
  <si>
    <t>X</t>
  </si>
  <si>
    <t>Perfil Defensivo</t>
  </si>
  <si>
    <t>Coordenadas</t>
  </si>
  <si>
    <t>EJE</t>
  </si>
  <si>
    <t>p</t>
  </si>
  <si>
    <t>d</t>
  </si>
  <si>
    <t>o</t>
  </si>
  <si>
    <t>c</t>
  </si>
  <si>
    <t>n</t>
  </si>
  <si>
    <t>b</t>
  </si>
  <si>
    <t>m</t>
  </si>
  <si>
    <t>a</t>
  </si>
  <si>
    <t>l</t>
  </si>
  <si>
    <t>k</t>
  </si>
  <si>
    <t>j</t>
  </si>
  <si>
    <t>i</t>
  </si>
  <si>
    <t>h</t>
  </si>
  <si>
    <t>g</t>
  </si>
  <si>
    <t>f</t>
  </si>
  <si>
    <t>e</t>
  </si>
  <si>
    <t>DESCRIPCIÓN</t>
  </si>
  <si>
    <t>PREMISA DEL PERFIL</t>
  </si>
  <si>
    <t>PERFIL</t>
  </si>
  <si>
    <t>CUADRANTE</t>
  </si>
  <si>
    <t>NI DE ACUERDO NI EN DESACUERDO</t>
  </si>
  <si>
    <t>DE ACUERDO</t>
  </si>
  <si>
    <t>VALOR</t>
  </si>
  <si>
    <t>FORTALEZAS (F)</t>
  </si>
  <si>
    <t>TOTAL</t>
  </si>
  <si>
    <t>DEBILIDADES (D)</t>
  </si>
  <si>
    <t>AMENAZAS (A)</t>
  </si>
  <si>
    <t>COORDENADAS (EJES)</t>
  </si>
  <si>
    <t>OPORTUNIDADES (O)</t>
  </si>
  <si>
    <t>PERFIL:</t>
  </si>
  <si>
    <t>DEFINICIÓN DEL PERFIL</t>
  </si>
  <si>
    <t>RESULTADOS</t>
  </si>
  <si>
    <t>B</t>
  </si>
  <si>
    <t>C</t>
  </si>
  <si>
    <t>Negativo</t>
  </si>
  <si>
    <t>x</t>
  </si>
  <si>
    <t>NO</t>
  </si>
  <si>
    <t>3ª ANÁLISIS GLOBAL</t>
  </si>
  <si>
    <t>Denominación  (abreviada)</t>
  </si>
  <si>
    <t>Período de vigencia del plan</t>
  </si>
  <si>
    <t xml:space="preserve"> </t>
  </si>
  <si>
    <t>Objetivos, metas y estrategias</t>
  </si>
  <si>
    <t>Conclusiones y objetivos</t>
  </si>
  <si>
    <t>CONCLUSIONES, OBJETIVOS Y ESTRATEGIA ←</t>
  </si>
  <si>
    <t>Modelo de negocio</t>
  </si>
  <si>
    <t>Posición competitiva</t>
  </si>
  <si>
    <t>Situación interna y externa</t>
  </si>
  <si>
    <t>Entorno y coyuntura</t>
  </si>
  <si>
    <t>ANÁLISIS ESTRATÉGICO   ←</t>
  </si>
  <si>
    <t>Misión, Visión, Valores</t>
  </si>
  <si>
    <t>¿QUÉ ENTENDEMOS COMO PLAN ESTRATÉGICO?</t>
  </si>
  <si>
    <t>VISIÓN</t>
  </si>
  <si>
    <t xml:space="preserve">  1a. Misión, Visión y Valores</t>
  </si>
  <si>
    <t>1º CONCEPTOS</t>
  </si>
  <si>
    <t>PLAN ESTRATÉGICO</t>
  </si>
  <si>
    <t>SI</t>
  </si>
  <si>
    <t>2ª ENTORNO</t>
  </si>
  <si>
    <t xml:space="preserve">
ESTRUCTURA DE UN "PLAN ESTRATÉGICO"
</t>
  </si>
  <si>
    <t xml:space="preserve">MISIÓN </t>
  </si>
  <si>
    <t>NI DE ACUERDO 
NI EN DESACUERDO</t>
  </si>
  <si>
    <t>PUEDE SER</t>
  </si>
  <si>
    <t>Perfil Supervivencia</t>
  </si>
  <si>
    <t>Perfil Re Orientación</t>
  </si>
  <si>
    <t>PERFIL A): Institución y Competencia muy estable (zona de confort +).</t>
  </si>
  <si>
    <t>PERFIL B): Alta competencia en una Institución sólida.</t>
  </si>
  <si>
    <t>PERFIL C): Institución y competencia en rápido crecimiento y muy sólidas (óptimo).</t>
  </si>
  <si>
    <t>PERFIL D): Institución creciente y competencia muy estable.</t>
  </si>
  <si>
    <t>PERFIL A): Lento crecimiento de la Institución y competencia</t>
  </si>
  <si>
    <t>PERFIL B): Alta competencia en una Institución poco estable</t>
  </si>
  <si>
    <t>PERFIL C): Institución y competencia estable (zona de confort -)</t>
  </si>
  <si>
    <t>PERFIL D): Institución poco estable y competencia estable</t>
  </si>
  <si>
    <t>PERFIL A): Institución y Competencia inestables.</t>
  </si>
  <si>
    <t>PERFIL B): Baja competencia en una Institución inestable.</t>
  </si>
  <si>
    <t>PERFIL C): Institución y competencia en lento crecimiento.</t>
  </si>
  <si>
    <t>PERFIL D): Institución poco creciente y competencia inestable.</t>
  </si>
  <si>
    <t>PERFIL A): Institución y competencia inestables.</t>
  </si>
  <si>
    <t>PERFIL B): Institución y competencia inestables.</t>
  </si>
  <si>
    <t>PERFIL C): Institución y competencia inestables.</t>
  </si>
  <si>
    <t>PERFIL D): Institución y competencia inestables.</t>
  </si>
  <si>
    <t>Institución financieramente fuerte que ha obtenido ventajas competitivas importantes en una Institución sólida. 
Institución sólida en penetración del mercado y desarrollo del servicio.
Institución que cumple con altos estándares y procesos definidos por conveniencia propia más que por la Institución.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son óptimos y al Cliente externo son buenos. 
Institución con alto nivel de liderazgo y empoderamiento en las diferentes jerarquías de la misma. 
Institución con soportes internos y/o externos (perteneciente a un Grupo), que beneficia a la línea de productos y/o servicios a todas las partes interesadas.</t>
  </si>
  <si>
    <t xml:space="preserve">Institución financieramente fuerte que ha obtenido ventajas competitivas importantes en una Institución de rápido crecimiento y muy sólida. 
Institución fuerte en penetración del mercado y desarrollo del servicio.
Institución que cumple con altos estándares y procesos definidos por la Institución y conveniencia propia.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y externo son óptimos. 
Institución con alto nivel de liderazgo y empoderamiento en las diferentes jerarquías de la misma. 
Institución con soportes internos y/o externos (perteneciente a un Grupo), que potencializan la línea de productos y/o servicios a todas las partes interesadas.
</t>
  </si>
  <si>
    <t xml:space="preserve">Institución financieramente estable que ha obtenido ventajas competitivas importantes en una Institución creciente.
Institución estable en penetración del mercado y desarrollo del servicio.
Institución que cumple con buenos estándares y procesos definidos por la Institución y conveniencia propia.
Institución que demuestra comunicación estable interna y externamente.
Institución de estructura estable y buena capacidad de reorganizar actividades frente a un riesgo.
Institución con personal competente y comprometido con una estructura estable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apoyan a la línea de productos y/o servicios a todas las partes interesadas.
</t>
  </si>
  <si>
    <t xml:space="preserve">Institución financieramente lenta que no ha obtenido ventajas competitivas importantes en una Institución de lento crecimiento. 
Institución lenta en penetración del mercado y desarrollo del servicio.
Institución que cumple lentamente con los estándares y procesos definidos por conveniencia propia ya que la Institución no otorga mejores estándares.
Institución que demuestra una comunicación poco estable interna y externamente.
Institución de estructura poco estable y poca capacidad de reorganizar actividades frente a un riesgo.
Institución con personal poco competente y comprometido con una estructura poco estable en todas sus áreas.
Institución con un ambiente laboral variante. 
Institución en cuyos niveles de satisfacción al Cliente interno y externo son variantes.
Institución con poco nivel de liderazgo y empoderamiento en las diferentes jerarquías de la misma. 
Institución con pocos soportes internos y/o externos (perteneciente a un Grupo), que a veces apoya a la línea de productos y/o servicios a todas las partes interesadas.
</t>
  </si>
  <si>
    <t>Institución financieramente fuerte que ha obtenido muchas ventajas competitivas importantes a pesar de ser una Institución poco estable.
Institución sólida en penetración del mercado y desarrollo del servicio.
Institución que cumple con buenos estándares y procesos definidos por conveniencia propia más que por la Institución.
Institución que demuestra muy buena comunicación interna y externamente.
Institución de  estructura muy buena y buena capacidad de reorganizar actividades frente a un riesgo.
Institución con personal competente y comprometido con una estructura buena en todas sus áreas.
Institución con un ambiente laboral bueno. 
Institución en cuyos niveles de satisfacción al Cliente interno son muy buenos y al Cliente externo son buenos. 
Institución con buen nivel de liderazgo y empoderamiento en las diferentes jerarquías de la misma. 
Institución con soportes internos y/o externos (perteneciente a un Grupo), que beneficia en casi todo a la línea de productos y/o servicios a todas las partes interesadas.</t>
  </si>
  <si>
    <t>Institución financieramente estable que ha obtenido ventajas competitivas importantes en una Institución estable. 
Institución estable en penetración del mercado y desarrollo del servicio.
Institución que cumple con estándares y procesos definidos por la Institución y conveniencia propia.
Institución que demuestra comunicación estable interna y externamente.
Institución de  estructura estable y con algo de capacidad para reorganizar actividades frente a un riesgo.
Institución con personal competente y comprometido con una estructura casi estable en todas sus áreas.
Institución con un ambiente laboral promedio. 
Institución en cuyos niveles de satisfacción al Cliente interno y externo son promedio. 
Institución con casi un buen nivel de liderazgo y empoderamiento en las diferentes jerarquías de la misma. 
Institución con soportes internos y/o externos (perteneciente a un Grupo), que apoyan a la línea de productos y/o servicios a todas las partes interesadas.</t>
  </si>
  <si>
    <t>Institución financieramente estable que ha obtenido algunas ventajas competitivas importantes en una Institución poco estable.
Institución poco estable en penetración del mercado y desarrollo del servicio.
Institución que cumple con buenos estándares y procesos definidos por conveniencia propia.
Institución que demuestra comunicación estable interna y externamente.
Institución de  estructura estable y mediana capacidad de reorganizar actividades frente a un riesgo.
Institución con personal medianamente competente y comprometido con una estructura casi estable en todas sus áreas.
Institución con un ambiente laboral bueno. 
Institución en cuyos niveles de satisfacción al Cliente interno y externo son promedio. 
Institución con buen nivel de liderazgo y empoderamiento en las diferentes jerarquías de la misma. 
Institución con soportes internos y/o externos (perteneciente a un Grupo), que apoyan a la línea de productos y/o servicios a todas las partes interesadas.</t>
  </si>
  <si>
    <t>Institución financieramente inestable que nunca ha obtenido ventajas competitivas importantes en una Institución inestable. 
Institución inestable en penetración del mercado y desarrollo del servicio.
Institución que nunca cumple con los estándares y procesos definidos por conveniencia propia y la Institución no otorga nada.
Institución que no demuestra una comunicación interna y externamente.
Institución de estructura inestable y nula capacidad de reorganizar actividades frente a un riesgo.
Institución con personal no competente ni comprometido, con una estructura mala en todas sus áreas.
Institución con un ambiente laboral muy malo. 
Institución en cuyos niveles de satisfacción al Cliente interno y externo son malos. 
Institución con mal nivel de liderazgo y empoderamiento en las diferentes jerarquías de la misma. 
Institución sin soportes internos y/o externos (perteneciente a un Grupo) y esto no apoya a la línea de productos y/o servicios a todas las partes interesadas.</t>
  </si>
  <si>
    <t>Institución financieramente débil que nunca ha obtenido ventajas competitivas importantes en una Institución inestable. 
Institución débil en penetración del mercado y desarrollo del servicio.
Institución que no cumple con estándares y procesos definidos por conveniencia propia.
Institución que no demuestra comunicación clara interna y externamente.
Institución de estructura variable y casi nula capacidad de reorganizar actividades frente a un riesgo.
Institución con personal no competente y con nulo compromiso, con una estructura inestable en todas sus áreas.
Institución con un ambiente laboral malo.
Institución en cuyos niveles de satisfacción al Cliente interno son malos y al Cliente externo son pésimos. 
Institución sin nivel de liderazgo y empoderamiento en las diferentes jerarquías de la misma. 
Institución sin soportes internos y/o externos (perteneciente a un Grupo) a la línea de productos y/o servicios a todas las partes interesadas.</t>
  </si>
  <si>
    <t>Institución financieramente lenta que pocas veces ha obtenido ventajas competitivas importantes en una Institución lenta. 
Institución lenta en penetración del mercado y desarrollo del servicio.
Institución que lentamente cumple con estándares y procesos definidos por la Institución y conveniencia propia.
Institución que demuestra comunicación lenta interna y externamente.
Institución de estructura lenta y lenta capacidad de reorganizar actividades frente a un riesgo.
Institución con personal competente y comprometido pero lento con una estructura básica en todas sus áreas.
Institución con un ambiente laboral variable. 
Institución en cuyos niveles de satisfacción al Cliente interno y externo son variables.
Institución con poco nivel de liderazgo y casi nulo empoderamiento en las diferentes jerarquías de la misma. 
Institución con pocos soportes internos y/o externos (perteneciente a un Grupo), que casi nunca aportan a la línea de productos y/o servicios de todas las partes interesadas.</t>
  </si>
  <si>
    <t>Institución financieramente inestable que nunca ha obtenido ventajas competitivas importantes en una Institución poco creciente.
Institución inestable en penetración del mercado y desarrollo del servicio.
Institución que cumple raras veces con estándares y procesos definidos por la Institución y conveniencia propia.
Institución que pocas veces demuestra una comunicación estable interna y externamente.
Institución de estructura inestable y mínimamente muestra capacidad de reorganizar actividades frente a un riesgo.
Institución con personal casi nunca competente y sin compromiso, con una estructura inestable en todas sus áreas.
Institución con un ambiente laboral inestable. 
Institución en cuyos niveles de satisfacción al Cliente interno y externo son casi siempre malos. 
Institución con casi nulo nivel de liderazgo y nulo empoderamiento en las diferentes jerarquías de la misma. 
Institución con mínimos soportes internos y/o externos (perteneciente a un Grupo), que no siempre apoyan a la línea de productos y/o servicios a todas las partes interesadas.</t>
  </si>
  <si>
    <t>Institución financieramente desastrosa en una Institución desastrosa.
Institución sin penetración del mercado y nunca ha desarrollado su servicio.
Institución que no conoce ni es de su interés implementar estándares y procesos.
Institución que nunca demuestra comunicación interna y externamente.
Institución sin estructura y sin interés para para reorganizar actividades frente a un riesgo.
Institución con personal incompetente y nulo compromiso, sin estructura en todas sus áreas.
Institución que nunca mide el ambiente laboral y no le interesa. 
Institución en cuyos niveles de satisfacción al Cliente interno y externo son pésimos y no le interesa.
Institución con nivel de liderazgo pésimo y nulo empoderamiento en las diferentes jerarquías de la misma. 
Institución sin soportes internos y/o externos (perteneciente a un Grupo), y no saben quiénes son las partes interesadas.</t>
  </si>
  <si>
    <t>PERFILES DE LA INSTITUCIÓN</t>
  </si>
  <si>
    <t xml:space="preserve">Entendemos por "Plan Estratégico" aquel que, partiendo de lo que la Institución es hoy o de lo que se quiere ser (si aún no existe), analiza la situación dónde nos encontramos y define dónde, cómo y cuándo llegaremos.
Por tanto, siempre es un plan a medio/largo plazo que contiene elementos "filosóficos”, elementos analíticos y elementos operativos sostenidos y confirmados por las consiguientes previsiones económico - financieras.
</t>
  </si>
  <si>
    <t>Parámetros de análisis situacional de la Organización:</t>
  </si>
  <si>
    <t>SISTEMA DE GESTIÓN DE LA CALIDAD</t>
  </si>
  <si>
    <r>
      <t>F</t>
    </r>
    <r>
      <rPr>
        <sz val="10"/>
        <color theme="1"/>
        <rFont val="Arial"/>
        <family val="2"/>
      </rPr>
      <t>echa de emisión</t>
    </r>
    <r>
      <rPr>
        <sz val="10"/>
        <color rgb="FF000000"/>
        <rFont val="Arial"/>
        <family val="2"/>
      </rPr>
      <t>:</t>
    </r>
  </si>
  <si>
    <r>
      <t>F</t>
    </r>
    <r>
      <rPr>
        <sz val="14"/>
        <color theme="1"/>
        <rFont val="Arial"/>
        <family val="2"/>
      </rPr>
      <t>echa de emisión</t>
    </r>
    <r>
      <rPr>
        <sz val="14"/>
        <color rgb="FF000000"/>
        <rFont val="Arial"/>
        <family val="2"/>
      </rPr>
      <t>:</t>
    </r>
  </si>
  <si>
    <t>VALORES ORGANIZACIONALES</t>
  </si>
  <si>
    <t xml:space="preserve">PRINCIPIOS RECTORES
</t>
  </si>
  <si>
    <t>OBJETIVOS DE LA CALIDAD</t>
  </si>
  <si>
    <r>
      <t>F</t>
    </r>
    <r>
      <rPr>
        <sz val="20"/>
        <color theme="1"/>
        <rFont val="Arial"/>
        <family val="2"/>
      </rPr>
      <t>echa de emisión</t>
    </r>
    <r>
      <rPr>
        <sz val="20"/>
        <color rgb="FF000000"/>
        <rFont val="Arial"/>
        <family val="2"/>
      </rPr>
      <t>:</t>
    </r>
  </si>
  <si>
    <r>
      <t>F</t>
    </r>
    <r>
      <rPr>
        <sz val="26"/>
        <color theme="1"/>
        <rFont val="Arial"/>
        <family val="2"/>
      </rPr>
      <t>echa de emisión</t>
    </r>
    <r>
      <rPr>
        <sz val="26"/>
        <color rgb="FF000000"/>
        <rFont val="Arial"/>
        <family val="2"/>
      </rPr>
      <t>:</t>
    </r>
  </si>
  <si>
    <t>RESPONSABLE</t>
  </si>
  <si>
    <t>ROL</t>
  </si>
  <si>
    <t>NOMBRE</t>
  </si>
  <si>
    <t>FIRMA</t>
  </si>
  <si>
    <t>Elaboración:</t>
  </si>
  <si>
    <t>Revisión:</t>
  </si>
  <si>
    <t>Aprobación:</t>
  </si>
  <si>
    <t>FEPADE</t>
  </si>
  <si>
    <t xml:space="preserve">  2a.  Análisis FODA</t>
  </si>
  <si>
    <t xml:space="preserve">  2b.  Matriz Posicionamiento Estratégico</t>
  </si>
  <si>
    <t xml:space="preserve">  3a. Matriz Partes Interesadas</t>
  </si>
  <si>
    <t>Fecha de emisión:</t>
  </si>
  <si>
    <t>Entrevista</t>
  </si>
  <si>
    <t>Trámite</t>
  </si>
  <si>
    <t>Transferencia</t>
  </si>
  <si>
    <t>Conciliación</t>
  </si>
  <si>
    <t>Entrega de Credencial</t>
  </si>
  <si>
    <t>Capacitación</t>
  </si>
  <si>
    <t>Desempeño de Personal</t>
  </si>
  <si>
    <t>4ª ANÁLISIS CONTEXTO</t>
  </si>
  <si>
    <t xml:space="preserve">  3b. Matriz-Contexto</t>
  </si>
  <si>
    <t>Institucional</t>
  </si>
  <si>
    <t>Ocurrencia</t>
  </si>
  <si>
    <t>Menor</t>
  </si>
  <si>
    <r>
      <rPr>
        <b/>
        <sz val="10"/>
        <color theme="1"/>
        <rFont val="Arial"/>
        <family val="2"/>
      </rPr>
      <t>Remotamente posible</t>
    </r>
    <r>
      <rPr>
        <sz val="10"/>
        <color theme="1"/>
        <rFont val="Arial"/>
        <family val="2"/>
      </rPr>
      <t>. El daño ocurre muy rara vez.</t>
    </r>
  </si>
  <si>
    <r>
      <rPr>
        <b/>
        <sz val="10"/>
        <rFont val="Arial"/>
        <family val="2"/>
      </rPr>
      <t>Remotamente posible</t>
    </r>
    <r>
      <rPr>
        <sz val="10"/>
        <rFont val="Arial"/>
        <family val="2"/>
      </rPr>
      <t>. La oportunidad ocurre muy rara vez.</t>
    </r>
  </si>
  <si>
    <r>
      <rPr>
        <b/>
        <sz val="10"/>
        <color theme="1"/>
        <rFont val="Arial"/>
        <family val="2"/>
      </rPr>
      <t>Bastante posible</t>
    </r>
    <r>
      <rPr>
        <sz val="10"/>
        <color theme="1"/>
        <rFont val="Arial"/>
        <family val="2"/>
      </rPr>
      <t>. El daño ocurre en algunas ocasiones y no es extraño que sucediera.</t>
    </r>
  </si>
  <si>
    <r>
      <rPr>
        <b/>
        <sz val="10"/>
        <rFont val="Arial"/>
        <family val="2"/>
      </rPr>
      <t>Bastante posible</t>
    </r>
    <r>
      <rPr>
        <sz val="10"/>
        <rFont val="Arial"/>
        <family val="2"/>
      </rPr>
      <t>. La oportunidad ocurre en algunas ocasiones y no es extraño que sucediera.</t>
    </r>
  </si>
  <si>
    <r>
      <rPr>
        <b/>
        <sz val="10"/>
        <color theme="1"/>
        <rFont val="Arial"/>
        <family val="2"/>
      </rPr>
      <t>Completamente posible</t>
    </r>
    <r>
      <rPr>
        <sz val="10"/>
        <color theme="1"/>
        <rFont val="Arial"/>
        <family val="2"/>
      </rPr>
      <t>. El daño ocurre siempre o casi siempre y ya ha ocurrido en ocasiones anteriores.</t>
    </r>
  </si>
  <si>
    <r>
      <rPr>
        <b/>
        <sz val="10"/>
        <rFont val="Arial"/>
        <family val="2"/>
      </rPr>
      <t>Completamente posible</t>
    </r>
    <r>
      <rPr>
        <sz val="10"/>
        <rFont val="Arial"/>
        <family val="2"/>
      </rPr>
      <t>. La oportunidad ocurre casi siempre o siempre y ya ha ocurrido en ocasiones anteriores.</t>
    </r>
  </si>
  <si>
    <t>Riesgo cuyos efectos están relacionados con Partes Interesadas que generan una desventaja frente a la competencia en el mismo ramo, zona geográfica, Ciudad, Estado y/o País en la prestación del producto / servicio brindado a la Ciudadanía.</t>
  </si>
  <si>
    <t>Oportunidad cuyos efectos están relacionados con Partes Interesadas que generan una ventaja competitiva en el mismo ramo, zona geográfica, Ciudad, Estado y/o País en la prestación del producto / servicio brindado a la Ciudadanía.</t>
  </si>
  <si>
    <t>Oportunidad cuyos efectos están relacionados con la prestación del servicio y/o entrega de la credencial para votar durante la operación y a la entrega a la Ciudadanía de forma eficiente. Puede incluir maquinaria, equipo, infraestructura, Recurso Humano, Insumos, servicios de apoyo (agua potable, electricidad, redes, internet, Sistema SIIRFE-MAC, etc.) y Partes Interesadas.</t>
  </si>
  <si>
    <t>Importante</t>
  </si>
  <si>
    <t>Social/Cultural</t>
  </si>
  <si>
    <t xml:space="preserve">Oportunidad que los integrantes del mercado y su influencia en el entorno sean de beneficio con la evolución demográfica, Movilidad social, Cambios en el estilo de vida, Actitud consumista, Nivel educativo, Patrones culturales y la Religión.
</t>
  </si>
  <si>
    <t xml:space="preserve">Riesgo en los integrantes del mercado y su influencia en el entorno. Variables como la evolución demográfica, Movilidad social, Cambios en el estilo de vida, Actitud consumista, Nivel educativo, Patrones culturales y la Religión.
</t>
  </si>
  <si>
    <t>Tecnológicos</t>
  </si>
  <si>
    <t>Riesgo del desarrollo tecnológico y sus aportes en la actividad Institucional. Depende de su estado la cifra en gasto público en investigación, Preocupación gubernamental y de industria por la tecnología, Grado de obsolescencia, Madurez de las tecnologías convencionales, Desarrollo de nuevos productos, Velocidad de transmisión de la tecnología</t>
  </si>
  <si>
    <t>Alta Dirección</t>
  </si>
  <si>
    <t>Partes Interesadas</t>
  </si>
  <si>
    <t>Necesidades</t>
  </si>
  <si>
    <t>Requisitos pertinentes</t>
  </si>
  <si>
    <t>Seguimiento</t>
  </si>
  <si>
    <t>Revisión</t>
  </si>
  <si>
    <t>Expectativas</t>
  </si>
  <si>
    <t>Requisitos deseables a considerar</t>
  </si>
  <si>
    <t>Tipo</t>
  </si>
  <si>
    <t>Interna</t>
  </si>
  <si>
    <t>•Contar con los recursos necesarios para realizar el trabajo.
•Motivación Institucional.
•Buen trato de los jefes inmediatos.
•Ambiente incluyente.
•Remuneración justa.
•Estabilidad laboral.</t>
  </si>
  <si>
    <t>Juntas Local y Distritales Ejecutivas</t>
  </si>
  <si>
    <t>Dirección de Depuración y Verificación en Campo (DDVC)</t>
  </si>
  <si>
    <t xml:space="preserve">• Formato CIF-05 lleno para verificar las claves geoelectorales. </t>
  </si>
  <si>
    <t>Junta Local Ejecutiva/Depuración al Padrón.</t>
  </si>
  <si>
    <t>Dirección de Atención Ciudadana INETEL y Centro de Atención Ciudadana (DAC)</t>
  </si>
  <si>
    <t>• La verificación en campo pueda ser localizada fácilmente por el técnico cartográfico y las georreferencias proporcionadas den información veraz de la ubicación de la ciudadanía.
• La actualización cartográfica electoral se mantenga actualizada en el menor tiempo posible.
• El crecimiento demográfico no sea de forma acelerada.</t>
  </si>
  <si>
    <t>• Administrar correctamente los recursos humanos, financieros y materiales para el cumplimiento de las funciones operativas de las vocalías del Registro Federal de Electores.
• Llevar acabo la planeación y programación de los recursos financieros, para garantizar la operación y desarrollo de los programas y proyectos de las vocalías del Registro Federal de Electores.</t>
  </si>
  <si>
    <t>Dirección de Ejecutiva Administrativa (DEA)</t>
  </si>
  <si>
    <t>• Que el flujo de la información de inscripción y actualización sea constante y sin interrupciones.
• Validar la información generada en el MAC.
• Que se integre la Solicitud individual de inscripción o actualización del ciudadano.
• Enviar la información para la credencial para votar.</t>
  </si>
  <si>
    <t>Proveedores</t>
  </si>
  <si>
    <t>Externa</t>
  </si>
  <si>
    <t>Jefe de Recursos Materiales./Junta Local Ejecutiva.</t>
  </si>
  <si>
    <t xml:space="preserve">• Política de entregas.
•Créditos.
</t>
  </si>
  <si>
    <t>Ciudadanía</t>
  </si>
  <si>
    <t xml:space="preserve"> • Que la información sea compartida de forma inmediata y directa con los medios de comunicación.</t>
  </si>
  <si>
    <t>• Actas de denuncias .
• Seguimiento y acatamiento de las sanciones impuestas.</t>
  </si>
  <si>
    <t>• No tener casos de denuncias de los Módulos de Atención Ciudadana.
• Funcionarios respetuosos de la ley.</t>
  </si>
  <si>
    <t>Instituciones Publicas (Federales y Estatales)</t>
  </si>
  <si>
    <t>•Convenios de apoyo y colaboración.</t>
  </si>
  <si>
    <t>Instituciones Privadas</t>
  </si>
  <si>
    <t>Consejo General/ Junta General Ejecutiva</t>
  </si>
  <si>
    <t>• Inclusión o exclusión de la Ciudadanía al Padrón Electoral.
• Realizar la validación para la presunta usurpación de identidad y datos apócrifos de la ciudadanía.
• Investigar los casos de datos presuntamente irregulares de la ciudadanía.
• Informar a la ciudadanía la suspensión de sus derechos políticos.
• Informar a la ciudadanía la cancelación de su trámite por datos irregulares.
• Informar a la ciudadanía sobre posibles domicilios irregulares.</t>
  </si>
  <si>
    <t>• Base de datos del Padrón Electoral actualizado.
• Análisis registral.</t>
  </si>
  <si>
    <t>• Aplicación de los recursos, financieros y materiales para la operación de los MAC ´s.
• Buena Integración de los documentos presupuestales de control de la evaluación.</t>
  </si>
  <si>
    <t>•Que los ciudadanos cuenten con una identificación vigente.
•Prevención de falsificaciones de la CPV.
• Que la Información sea fidedigna de la identificación otorgada por el Instituto de acuerdo con los requisitos establecidos.</t>
  </si>
  <si>
    <t>• Denunciar las conductas presuntamente ilícitas en materia registral.</t>
  </si>
  <si>
    <t>Partidos Políticos</t>
  </si>
  <si>
    <t>• Que la ciudadanía pueda obtener su CPV para ejercer su derecho al voto.</t>
  </si>
  <si>
    <t xml:space="preserve">En el Instituto Nacional Electoral INE, estamos comprometidos en proporcionar a la ciudadanía un servicio eficiente y de calidad en el trámite de expedición de su credencial para votar, desde la entrevista hasta la entrega de la credencial para votar, para contribuir al derecho a la identidad ciudadana, con base en el marco normativo, reglamentario y en un entorno de mejora continua con apego a los requisitos de la norma ISO 9001:2015.
</t>
  </si>
  <si>
    <t>Oportunidad que genera un beneficio mínimo en los procesos de una o varias áreas de la Institución, el SGC y/o Partes Interesadas de la cual se espera un resultado inmediato.</t>
  </si>
  <si>
    <t>CONCLUSIONES</t>
  </si>
  <si>
    <t>Bienes y Servicios</t>
  </si>
  <si>
    <t>• Padrón Electoral actualizado.
• Identificación de la ciudadanía que pretende realizar robo de identidad.
• Identificación de la ciudadanía con datos usurpados.
• Tener actualizada la reincorporación de la ciudadanía con retiro de sus derechos políticos.
• Base de datos actualizada hasta la fecha.</t>
  </si>
  <si>
    <t>• Que se realice el trámite conforme a la normatividad.
• Atención y seguimiento a quejas.
• Entrega de Credencial para votar a la ciudadanía.</t>
  </si>
  <si>
    <r>
      <t xml:space="preserve">Valor proporcional </t>
    </r>
    <r>
      <rPr>
        <b/>
        <sz val="12"/>
        <color theme="0"/>
        <rFont val="Arial"/>
        <family val="2"/>
      </rPr>
      <t>F + A</t>
    </r>
  </si>
  <si>
    <r>
      <t xml:space="preserve">Valor proporcional </t>
    </r>
    <r>
      <rPr>
        <b/>
        <sz val="12"/>
        <rFont val="Arial"/>
        <family val="2"/>
      </rPr>
      <t>D + O</t>
    </r>
  </si>
  <si>
    <t>DESACUERDO</t>
  </si>
  <si>
    <t>FODA</t>
  </si>
  <si>
    <t>Institución financieramente estable que no ha obtenido ventajas competitivas importantes en una Institución estable. 
Institución estable en penetración del mercado y desarrollo del servicio.
Institución que cumple con los estándares y procesos definidos por conveniencia propia y por la Institución.
Institución que demuestra una comunicación estable interna y externamente.
Institución de estructura estable y buena capacidad de reorganizar actividades frente a un riesgo.
Institución con personal competente y comprometido con una estructura buena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 a la línea de productos y/o servicios a todas las partes interesadas.</t>
  </si>
  <si>
    <t>Impacto negativo por las fallas en la actualización de las versiones de SIIRFE.</t>
  </si>
  <si>
    <t>Insuficiencia en los montos de gasto de campo y radicación oportuna.</t>
  </si>
  <si>
    <t>No se cuenta con infraestructura suficiente para atender a ciudadanos por aplicación del Artículo 141 de la LGIPE.</t>
  </si>
  <si>
    <t>INSTITUTO NACIONAL ELECTORAL JLE PUEBLA</t>
  </si>
  <si>
    <t>JLE PUEBLA</t>
  </si>
  <si>
    <t>Personal de la Delegación INE Puebla</t>
  </si>
  <si>
    <t>Cualquier riesgo cuyo efecto negativo está relacionado con la salud física, medio ambiente y seguridad laboral de cualquier Parte Interesada (interna o externa) así como el ambiente laboral de los funcionarios dentro de la Delegación INE Puebla.</t>
  </si>
  <si>
    <t>Oportunidad cuyo efecto está relacionado con mantener e incrementar los beneficios en la salud física, medio ambiente y seguridad laboral de cualquier Parte Interesada (interna y externa) así como el ambiente laboral de los Funcionarios dentro de la Delegación INE Puebla.</t>
  </si>
  <si>
    <t>Oportunidad cuyos efectos están relacionados con el aprovechamiento de los cambios en las normatividades legales y reglamentarias aplicables a la Delegación INE Puebla en el ámbito federal, local y del ramo que permitan  mantener y mejorar las relaciones con las Partes Interesadas durante la operación y a la entrega de la credencial para votar y/o trámite a la Ciudadanía.</t>
  </si>
  <si>
    <t>Riesgo cuyos efectos están relacionados con la probabilidad de que las fuerzas políticas generen cambios negativos en el entorno de la Delegación INE Puebla y obstaculicen o minimicen relaciones con Partes Interesadas.</t>
  </si>
  <si>
    <t>Oportunidad cuyos efectos están relacionados con la probabilidad de que las fuerzas políticas generen cambios positivos en el entorno de la Delegación INE Puebla y apoyen a mejorar las relaciones con las Partes Interesadas.</t>
  </si>
  <si>
    <t xml:space="preserve">Riesgo cuyos efectos están relacionados con cambios en la planeación y ejecución estratégica del INE, DOS, DERFE que provocan limitantes tangibles e intangibles en los resultados de la Delegación INE Puebla. </t>
  </si>
  <si>
    <t>Oportunidad cuyos efectos están relacionados con cambios en la planeación y ejecución estratégica del INE, DERFE.DOS que provocan beneficios tangibles e intangibles en los resultados de la Delegación INE Puebla.</t>
  </si>
  <si>
    <t>Oportunidad en el desarrollo tecnológico y sus aportes en la actividad de la Delegación INE Puebla, Madurez de las tecnologías convencionales, Desarrollo de nuevos productos, Velocidad de transmisión de la tecnología</t>
  </si>
  <si>
    <t>Riesgo cuyos efectos están relacionados con limitar o detener la sostenibilidad financiera de la Delegación INE Puebla las cuales pueden ser generadas en conjunto por una o unas de las Partes Interesadas.</t>
  </si>
  <si>
    <t>Oportunidad cuyos efectos están relacionados con mantener e incrementar la sostenibilidad financiera de la Delegación INE Puebla las cuales pueden ser generadas en conjunto por una o unas de las Partes Interesadas.</t>
  </si>
  <si>
    <t>Riesgo mínimo negativo que limita la integridad para otorgar la prestación del producto / servicio determinado por la Delegación INE Puebla. Puede revertirse de forma rápida o inmediata y genera costos de no calidad mínimos sin daños permanentes.</t>
  </si>
  <si>
    <t>Impacto mínimo positivo que mantiene la integridad para otorgar la prestación del producto / servicio determinado por la Delegación INE Puebla. Puede implementarse de forma rápida y genera costos de calidad mínimos.</t>
  </si>
  <si>
    <t>Riesgo negativo considerable que afecta la integridad para otorgar la prestación del producto / servicio determinado por la Delegación INE Puebla. Puede revertirse en un corto tiempo y genera costos de no calidad considerables y con daños mínimos permanentes.</t>
  </si>
  <si>
    <t>Impacto positivo considerable que mejora la integridad para otorgar la prestación del producto / servicio determinado por la Delegación INE Puebla. Puede implementarse de un corto tiempo y genera costos de calidad considerables.</t>
  </si>
  <si>
    <t>Riesgo negativo que afecta gravemente la integridad para otorgar la prestación del producto / servicio determinado por la Delegación INE Puebla. Pocas veces puede revertirse en un mediano o largo tiempo y genera costos de no calidad altos y con daños visiblemente permanentes.</t>
  </si>
  <si>
    <t>Impacto positivo garantizado que potencializa la integridad para otorgar la prestación del producto / servicio determinado por la Delegación INE Puebla. Puede implementarse en un mediano o largo tiempo y genera costos de calidad considerables y posiblemente permanentes.</t>
  </si>
  <si>
    <t>Control rutinario, no afecta la secuencia e integridad de los procesos de una o varias áreas de la Delegación INE Puebla, el SGC y/o Partes Interesadas.</t>
  </si>
  <si>
    <t>Monitorear el riesgo, afecta mínimamente la secuencia y la integridad de los procesos de una o varias áreas de la Delegación INE Puebla, el SGC y/o Partes Interesadas.</t>
  </si>
  <si>
    <t>Oportunidad con buena posibilidad de abordarse siempre y cuando se profundice en los beneficios esperados en los procesos de una o varias áreas de la Delegación INE Puebla, el SGC y/o Partes Interesadas de la cual se espera un resultado a corto plazo.</t>
  </si>
  <si>
    <t>Plan de acción eficaz donde se realice un control permanente ya que existe un riesgo moderado en la secuencia y la integridad de los procesos de una o varias áreas de la Delegación INE Puebla, al SGC y/o Partes Interesadas.</t>
  </si>
  <si>
    <t>Oportunidad con beneficios claros y específicos en los procesos de una o varias áreas de la Delegación INE Puebla, el SGC y/o Partes Interesadas, de la cual se espera un resultado a corto y mediano plazo.</t>
  </si>
  <si>
    <t>Acción de contención inmediata, es importante generar un plan de acción eficaz y eficiente donde se realice un control específico y permanente ya que el riesgo es alto en la secuencia y la integridad de los procesos de varias áreas de la Delegación INE Puebla, el SGC y/o Partes interesadas.</t>
  </si>
  <si>
    <t>Oportunidad con beneficios claros, generales y específicos en los procesos de varias o todas las áreas de la Delegación INE Puebla, el SGC y/o Partes Interesadas de la cual se obtiene un resultado a corto, mediano y/o largo plazo.</t>
  </si>
  <si>
    <t>Acción de contención inmediata, es urgente generar un plan de acción y revisión del proceso (aplicar reingeniería si es necesario) eficaz y eficiente donde se realice un control específico y permanente ya que el riesgo es grave en la secuencia y la integridad de los procesos de varias o todas las áreas de la Delegación INE Puebla, el SGC y/o Partes interesadas.</t>
  </si>
  <si>
    <t>Mtro. Carlos Alberto Montero Catalán</t>
  </si>
  <si>
    <t xml:space="preserve">Reclutamiento y Selección </t>
  </si>
  <si>
    <t>Soporte Técnico</t>
  </si>
  <si>
    <r>
      <t>Riesgo cuyos efectos están relacionados con los cambios de las normatividades legales y reglamentarias aplicables a la Delegación INE Puebla en el ámbito federal, local y del ramo que no permitan acceder, mantener o mejorar las relaciones con las Partes Interesadas y esto afecte a la Delegación INE Puebla durante la operación</t>
    </r>
    <r>
      <rPr>
        <sz val="10"/>
        <color rgb="FFFFC000"/>
        <rFont val="Arial"/>
        <family val="2"/>
      </rPr>
      <t>,</t>
    </r>
    <r>
      <rPr>
        <sz val="10"/>
        <color theme="1"/>
        <rFont val="Arial"/>
        <family val="2"/>
      </rPr>
      <t xml:space="preserve"> entrega de la credencial para votar y/o trámite a la Ciudadanía.</t>
    </r>
  </si>
  <si>
    <r>
      <t xml:space="preserve">Riesgo cuyos efectos están relacionados con la nula o mala prestación del servicio y/o entrega de la credencial para votar durante la operación y a la entrega a la Ciudadanía. Puede incluir maquinaria, equipo, infraestructura, </t>
    </r>
    <r>
      <rPr>
        <sz val="10"/>
        <color rgb="FFFFC000"/>
        <rFont val="Arial"/>
        <family val="2"/>
      </rPr>
      <t>r</t>
    </r>
    <r>
      <rPr>
        <sz val="10"/>
        <color theme="1"/>
        <rFont val="Arial"/>
        <family val="2"/>
      </rPr>
      <t xml:space="preserve">ecurso </t>
    </r>
    <r>
      <rPr>
        <sz val="10"/>
        <color rgb="FFFFC000"/>
        <rFont val="Arial"/>
        <family val="2"/>
      </rPr>
      <t>h</t>
    </r>
    <r>
      <rPr>
        <sz val="10"/>
        <color theme="1"/>
        <rFont val="Arial"/>
        <family val="2"/>
      </rPr>
      <t xml:space="preserve">umano, </t>
    </r>
    <r>
      <rPr>
        <sz val="10"/>
        <color rgb="FFFFC000"/>
        <rFont val="Arial"/>
        <family val="2"/>
      </rPr>
      <t>i</t>
    </r>
    <r>
      <rPr>
        <sz val="10"/>
        <color theme="1"/>
        <rFont val="Arial"/>
        <family val="2"/>
      </rPr>
      <t>nsumos, servicios de apoyo (agua potable, electricidad, redes, internet, Sistema SIIRFE-MAC) y Partes Interesadas.</t>
    </r>
  </si>
  <si>
    <t>Experiencia acumulada del personal.</t>
  </si>
  <si>
    <t>Capacitación constante al personal de MAC´s relativa a los procedimientos operativos.</t>
  </si>
  <si>
    <t>Proceso de selección objetiva para la contratación del personal de los MAC´s.</t>
  </si>
  <si>
    <t>Confianza ciudadana hacia el INE.</t>
  </si>
  <si>
    <t>Falta de sustitución oportuna de periféricos en Módulos de Atención Ciudadana.</t>
  </si>
  <si>
    <t>Involucramiento doloso del personal de Módulos de Atención Ciudadana en trámites irregulares y usurpación de identidad.</t>
  </si>
  <si>
    <t>Crecimiento poblacional desordenado, que dificulta la correcta referenciación de la ciudadanía.</t>
  </si>
  <si>
    <t xml:space="preserve">Recorte presupuestal de la Cámara de Diputados: que se traduce en limitaciones internas para la ejecución de programas. </t>
  </si>
  <si>
    <t>Campaña de desacreditación de algunos medios de comunicación y actores políticos hacia la institución.</t>
  </si>
  <si>
    <t>Disminución de la participación ciudadana con el Instituto.</t>
  </si>
  <si>
    <t>Comprobantes de domicilio con discrepancias respecto a la cartografía electoral.</t>
  </si>
  <si>
    <t>Cédula de identidad ciudadana a cargo de la SEGOB.</t>
  </si>
  <si>
    <t>Trámites realizados con mala fe de la ciudadanía.</t>
  </si>
  <si>
    <t>Mejorar los mecanismos de entrega y comprobación de recursos.</t>
  </si>
  <si>
    <t>Reforzar el conocimiento sobre el funcionamiento, directorio, horarios y requisitos de los MAC´s, en todo el personal de las Juntas.</t>
  </si>
  <si>
    <t>Análisis: Dónde estamos y cuál es el entorno.                       Situación y factores internos y externos. Posición competitiva. Qué opciones estratégicas tenemos.</t>
  </si>
  <si>
    <t>Definición: Qué objetivos, cómo y cuándo  los alcanzaremos. Que estrategias aplicaremos.</t>
  </si>
  <si>
    <t>L.A.P. Claudia Cardona Ramírez                  Ing. Julio César Fernández Hernández              C. Jorge Alfonso Olvera Águila</t>
  </si>
  <si>
    <t xml:space="preserve">1. Actualizar el Padrón Electoral en la entidad mediante la captación de solicitudes de credencial requeridas por la ciudadanía en los Módulos de Atención Ciudadana instalados.
2. Elevar el porcentaje de utilización de la capacidad en los Módulos de Atención Ciudadana de la Entidad.
3. Brindar el servicio en todos los Módulos de Atención Ciudadana autorizados en el estado, conforme al calendario de operación de Módulos de Atención Ciudadana de la campaña de actualización en turno.
4. Promover la inscripción de jóvenes al Padrón Electoral.
5. Mantener el servicio de atención a domicilio, acorde a lo que establece el artículo 141 de la Ley General de Instituciones y Procedimientos Electorales (LGIPE).
6. Conocer la opinión ciudadana sobre el servicio de los Módulos de Atención Ciudadana. </t>
  </si>
  <si>
    <t>• Cumplir con las funciones, actividades y procedimientos para la operación del MAC.
• Personal de MAC debidamente capacitado.
• Aplicación correcta de las supervisiones a los MAC´s.
• Cumplir con los procedimientos para el retiro, resguardo y destrucción de formatos de credencial de los MAC´s.
• Coordinar la liberación de la plantilla para la operación de los MAC´s.
• Mantener el parque vehicular en buen estado para garantizar la operación del MAC.
• Mantener el equipo tecnológico necesario y en buen estado para la operación del MAC.</t>
  </si>
  <si>
    <t xml:space="preserve">• Programa de Capacitación.
• Indicadores de desempeño.
• Manuales de Operación actualizados.
• Cédula de supervisión.
• Inventario de infraestructura.
</t>
  </si>
  <si>
    <t>Infraestructura tecnológica y de movilidad suficiente para la operación de MAC´s.</t>
  </si>
  <si>
    <t>Falta de diseño y elaboración de mensajes y materiales para la difusión de los medios de identificación para el trámite de la Credencial para Votar.</t>
  </si>
  <si>
    <t>Falta de incentivos económicos para las y los funcionarios de los MAC´s.</t>
  </si>
  <si>
    <t>Deficiencia en las campañas de difusión del Registro Federal de Electores en medios de comunicación.</t>
  </si>
  <si>
    <t>Actas de nacimiento con deficiencias y problemas para la generación correcta de la CURP.</t>
  </si>
  <si>
    <t>Problemáticas generadas por la pandemia por COVID-19 y por la inseguridad pública.</t>
  </si>
  <si>
    <t>Gestionar con autoridades municipales la difusión de requisitos, directorios y concertación de espacios para instalación de los MAC´s itinerantes.</t>
  </si>
  <si>
    <t>Aprovechar los espacios en radio y televisión relativas a difusión de la información de las campañas de credencialización.</t>
  </si>
  <si>
    <t>Mejorar condiciones laborales del personal de los MAC´s, incorporándolos a plaza presupuestal.</t>
  </si>
  <si>
    <t>Mejorar las condiciones de imagen institucional en los MAC´s.</t>
  </si>
  <si>
    <t>Versión: 1</t>
  </si>
  <si>
    <t>2021-2022</t>
  </si>
  <si>
    <t>Segundo ejercicio</t>
  </si>
  <si>
    <t xml:space="preserve">  1c. Alcance del Sistema de Gestión de la Calidad</t>
  </si>
  <si>
    <t>Alcance del Sistema de Gestión de la Calidad</t>
  </si>
  <si>
    <t>El alcance determinado por la JLE de la entidad es dar un servicio de atención a la ciudadanía durante el trámite de expedición de su CPV, desde la primera entrevista hasta su entrega en los Módulos de Atención Ciudadana de la entidad.</t>
  </si>
  <si>
    <t>Requisitos no Aplicables al Sistema de Gestión de la Calidad</t>
  </si>
  <si>
    <t>7.1.5 Recursos de seguimiento y medición. La JLE de la entidad no considera como un requisito esencial los recursos de seguimiento y medición para proporcionar confianza en la validez de los resultados, ya que, no se requiere un equipo de medición para el desarrollo del servicio que se le proporciona a la ciudadanía. El servicio del trámite para la expedición de la CPV no requiere la trazabilidad de las mediciones para proporcionar la evidencia de la conformidad del servicio.
Así mismo, los recursos de seguimiento y medición, dada la naturaleza del servicio del trámite de la CPV que se brinda en la entidad, se verifica por medio de los indicadores de desempeño de cada Proceso Sustantivo o de Apoyo y de los Objetivos de la Calidad.</t>
  </si>
  <si>
    <t>8.3 Diseño y desarrollo de los productos y servicios, no es aplicable para la entidad ya que no fabrica la CPV, puesto que depende de una empresa externa para la elaboración de ésta, de acuerdo con los requerimientos solicitados por el Instituto Nacional Electoral (INE) para su entrega.
Así mismo, el servicio está establecido por la normatividad vigente en el INE y que aplica para el trámite de la CPV, por lo tanto, el SGC de la entidad, no puede realizar modificaciones en la normatividad vigente.</t>
  </si>
  <si>
    <t>El servicio aplicable, a través, de los siguientes centros de trabajo</t>
  </si>
  <si>
    <r>
      <t>Sitio</t>
    </r>
    <r>
      <rPr>
        <sz val="11"/>
        <color theme="1"/>
        <rFont val="Arial"/>
        <family val="2"/>
      </rPr>
      <t> </t>
    </r>
  </si>
  <si>
    <r>
      <t>Dirección</t>
    </r>
    <r>
      <rPr>
        <sz val="11"/>
        <color theme="1"/>
        <rFont val="Arial"/>
        <family val="2"/>
      </rPr>
      <t> </t>
    </r>
  </si>
  <si>
    <r>
      <t>Procesos que se desarrollan</t>
    </r>
    <r>
      <rPr>
        <sz val="11"/>
        <color theme="1"/>
        <rFont val="Arial"/>
        <family val="2"/>
      </rPr>
      <t> </t>
    </r>
  </si>
  <si>
    <t>Junta Local Ejecutiva</t>
  </si>
  <si>
    <t>Procesos Sustantivos identificados en el Anexo 1 del Manual del Sistema de Gestión de la Calidad</t>
  </si>
  <si>
    <t xml:space="preserve">Conforme al Directorio de Módulos de Atención Ciudadana de las Campañas de Actualización. </t>
  </si>
  <si>
    <t>Avenida 35 Oriente número 5, Colonia Huexotitla, C.P. 72534, Puebla, Puebla.</t>
  </si>
  <si>
    <t>Módulos Semifijos: 210252, 210452, 210753, 210852, 211453</t>
  </si>
  <si>
    <r>
      <t>Módulo</t>
    </r>
    <r>
      <rPr>
        <b/>
        <sz val="8"/>
        <color rgb="FF000000"/>
        <rFont val="Arial"/>
        <family val="2"/>
      </rPr>
      <t xml:space="preserve"> 210151</t>
    </r>
  </si>
  <si>
    <r>
      <t xml:space="preserve">Módulo </t>
    </r>
    <r>
      <rPr>
        <b/>
        <sz val="8"/>
        <color rgb="FF000000"/>
        <rFont val="Arial"/>
        <family val="2"/>
      </rPr>
      <t>210152</t>
    </r>
  </si>
  <si>
    <r>
      <t xml:space="preserve">Módulo </t>
    </r>
    <r>
      <rPr>
        <b/>
        <sz val="8"/>
        <color rgb="FF000000"/>
        <rFont val="Arial"/>
        <family val="2"/>
      </rPr>
      <t>210251</t>
    </r>
  </si>
  <si>
    <r>
      <t xml:space="preserve">Módulo </t>
    </r>
    <r>
      <rPr>
        <b/>
        <sz val="8"/>
        <color rgb="FF000000"/>
        <rFont val="Arial"/>
        <family val="2"/>
      </rPr>
      <t>210351</t>
    </r>
  </si>
  <si>
    <r>
      <t xml:space="preserve">Módulo </t>
    </r>
    <r>
      <rPr>
        <b/>
        <sz val="8"/>
        <color rgb="FF000000"/>
        <rFont val="Arial"/>
        <family val="2"/>
      </rPr>
      <t>210352</t>
    </r>
  </si>
  <si>
    <r>
      <t xml:space="preserve">Módulo </t>
    </r>
    <r>
      <rPr>
        <b/>
        <sz val="8"/>
        <color rgb="FF000000"/>
        <rFont val="Arial"/>
        <family val="2"/>
      </rPr>
      <t>210451</t>
    </r>
  </si>
  <si>
    <r>
      <t xml:space="preserve">Módulo </t>
    </r>
    <r>
      <rPr>
        <b/>
        <sz val="8"/>
        <color rgb="FF000000"/>
        <rFont val="Arial"/>
        <family val="2"/>
      </rPr>
      <t>210551</t>
    </r>
  </si>
  <si>
    <r>
      <t xml:space="preserve">Módulo </t>
    </r>
    <r>
      <rPr>
        <b/>
        <sz val="8"/>
        <color rgb="FF000000"/>
        <rFont val="Arial"/>
        <family val="2"/>
      </rPr>
      <t>210552</t>
    </r>
  </si>
  <si>
    <r>
      <t xml:space="preserve">Módulo </t>
    </r>
    <r>
      <rPr>
        <b/>
        <sz val="8"/>
        <color rgb="FF000000"/>
        <rFont val="Arial"/>
        <family val="2"/>
      </rPr>
      <t>210651</t>
    </r>
  </si>
  <si>
    <r>
      <t xml:space="preserve">Módulo </t>
    </r>
    <r>
      <rPr>
        <b/>
        <sz val="8"/>
        <color rgb="FF000000"/>
        <rFont val="Arial"/>
        <family val="2"/>
      </rPr>
      <t>210751</t>
    </r>
  </si>
  <si>
    <r>
      <t xml:space="preserve">Módulo </t>
    </r>
    <r>
      <rPr>
        <b/>
        <sz val="8"/>
        <color rgb="FF000000"/>
        <rFont val="Arial"/>
        <family val="2"/>
      </rPr>
      <t>210752</t>
    </r>
  </si>
  <si>
    <r>
      <t xml:space="preserve">Módulo </t>
    </r>
    <r>
      <rPr>
        <b/>
        <sz val="8"/>
        <color rgb="FF000000"/>
        <rFont val="Arial"/>
        <family val="2"/>
      </rPr>
      <t>210851</t>
    </r>
  </si>
  <si>
    <r>
      <t xml:space="preserve">Módulo </t>
    </r>
    <r>
      <rPr>
        <b/>
        <sz val="8"/>
        <color rgb="FF000000"/>
        <rFont val="Arial"/>
        <family val="2"/>
      </rPr>
      <t>210951</t>
    </r>
  </si>
  <si>
    <r>
      <t xml:space="preserve">Módulo </t>
    </r>
    <r>
      <rPr>
        <b/>
        <sz val="8"/>
        <color rgb="FF000000"/>
        <rFont val="Arial"/>
        <family val="2"/>
      </rPr>
      <t>210952</t>
    </r>
  </si>
  <si>
    <r>
      <t xml:space="preserve">Módulo </t>
    </r>
    <r>
      <rPr>
        <b/>
        <sz val="8"/>
        <color rgb="FF000000"/>
        <rFont val="Arial"/>
        <family val="2"/>
      </rPr>
      <t>211051</t>
    </r>
  </si>
  <si>
    <r>
      <t xml:space="preserve">Módulo </t>
    </r>
    <r>
      <rPr>
        <b/>
        <sz val="8"/>
        <color rgb="FF000000"/>
        <rFont val="Arial"/>
        <family val="2"/>
      </rPr>
      <t>211151</t>
    </r>
  </si>
  <si>
    <r>
      <t xml:space="preserve">Módulo </t>
    </r>
    <r>
      <rPr>
        <b/>
        <sz val="8"/>
        <color rgb="FF000000"/>
        <rFont val="Arial"/>
        <family val="2"/>
      </rPr>
      <t>211251</t>
    </r>
  </si>
  <si>
    <r>
      <t xml:space="preserve">Módulo </t>
    </r>
    <r>
      <rPr>
        <b/>
        <sz val="8"/>
        <color rgb="FF000000"/>
        <rFont val="Arial"/>
        <family val="2"/>
      </rPr>
      <t>211252</t>
    </r>
  </si>
  <si>
    <r>
      <t xml:space="preserve">Módulo </t>
    </r>
    <r>
      <rPr>
        <b/>
        <sz val="8"/>
        <color rgb="FF000000"/>
        <rFont val="Arial"/>
        <family val="2"/>
      </rPr>
      <t>211351</t>
    </r>
  </si>
  <si>
    <r>
      <t xml:space="preserve">Módulo </t>
    </r>
    <r>
      <rPr>
        <b/>
        <sz val="8"/>
        <color rgb="FF000000"/>
        <rFont val="Arial"/>
        <family val="2"/>
      </rPr>
      <t>211352</t>
    </r>
  </si>
  <si>
    <r>
      <t xml:space="preserve">Módulo </t>
    </r>
    <r>
      <rPr>
        <b/>
        <sz val="8"/>
        <color rgb="FF000000"/>
        <rFont val="Arial"/>
        <family val="2"/>
      </rPr>
      <t>211451</t>
    </r>
  </si>
  <si>
    <r>
      <t xml:space="preserve">Módulo </t>
    </r>
    <r>
      <rPr>
        <b/>
        <sz val="8"/>
        <color rgb="FF000000"/>
        <rFont val="Arial"/>
        <family val="2"/>
      </rPr>
      <t>211452</t>
    </r>
  </si>
  <si>
    <r>
      <t xml:space="preserve">Módulo </t>
    </r>
    <r>
      <rPr>
        <b/>
        <sz val="8"/>
        <color rgb="FF000000"/>
        <rFont val="Arial"/>
        <family val="2"/>
      </rPr>
      <t>211551</t>
    </r>
  </si>
  <si>
    <t>Calle Morelos número 3, Colonia Centro, C.P. 73170, Huauchinango, Puebla.</t>
  </si>
  <si>
    <t>Avenida Juárez Sur número 252, Colonia La Rivera, C.P. 73080, Xicotepec, Puebla.</t>
  </si>
  <si>
    <t>Calle Ignacio Allende número 9-A, Colonia Centro, C.P. 73310, Zacatlán, Puebla.</t>
  </si>
  <si>
    <t>Prolongación de Mina número 214, Colonia Barrio de Francia, C.P. 73880, Teziutlán, Puebla.</t>
  </si>
  <si>
    <t>Calle Carlos Betancourt Molina número 54, Colonia Centro, C.P. 73680, Zacapoaxtla, Puebla.</t>
  </si>
  <si>
    <t>Avenida 2 Poniente número 616, Colonia Centro, C.P. 75910, Ajalpan, Puebla.</t>
  </si>
  <si>
    <t>Calle Zaragoza Norte número 303, Colonia Centro, C.P. 74000, San Martín Texmelucan, Puebla.</t>
  </si>
  <si>
    <t>Calle Pablo L. Sidar número 221, Colonia Barrio Segundo, C.P. 74160, Huejotzingo, Puebla.</t>
  </si>
  <si>
    <t>Calzada Ignacio Zaragoza 266, Colonia Los Pinos, C.P. 72240, Puebla, Puebla.</t>
  </si>
  <si>
    <t>Calle 9 Poniente número 301, Colonia Barrio El Santuario, C.P. 75200, Tepeaca, Puebla.</t>
  </si>
  <si>
    <t>Calle 14 Sur número 515, Colonia Barrio Sagrada Familia, C.P. 72980, Amozoc, Puebla.</t>
  </si>
  <si>
    <t>Boulevard José María Morelos y Pavón número 604, Colonia Centro, C.P. 75520, Chalchicomula de Sesma, Puebla.</t>
  </si>
  <si>
    <t>Calle Eufemio Zapata número 1, Colonia Santa María La Rivera, C.P. 72010, Puebla, Puebla.</t>
  </si>
  <si>
    <t>Vía Atlixcáyotl sin número, Colonia Reserva Territorial Atlixcáyotl, C.P. 72450, Puebla, Puebla.</t>
  </si>
  <si>
    <t>Boulevard Forjadores número 3401, Colonia San Diego, C.P. 72760, Cholula de Rivadavia, Puebla.</t>
  </si>
  <si>
    <t>Calle Venustiano Carranza número 101, Colonia Segunda Ampliación Guadalupe Hidalgo, C.P. 72490, Puebla, Puebla.</t>
  </si>
  <si>
    <t>Boulevard Héroes del 5 de Mayo número 3126, Colonia Ladrillera de Benítez, C.P. 72530, Puebla, Puebla.</t>
  </si>
  <si>
    <t>Calle 53 Poniente número 1308-A, Fracc. Prados Agua Azul, C.P. 72430, Puebla, Puebla.</t>
  </si>
  <si>
    <t>Boulevard Niños Héroes número 805-A, Colonia La Alfonsina, C.P. 74270, Atlixco, Puebla.</t>
  </si>
  <si>
    <t>Carretera Internacional México-Oaxaca número 1, Colonia Barrio San Juan Coahuixtla, C.P. 74480, Izúcar de Matamoros, Puebla.</t>
  </si>
  <si>
    <t>Avenida 3 Poniente número 2301, Colonia Barrio de San Sebastián, C.P. 75841, Tecamachalco, Puebla.</t>
  </si>
  <si>
    <t xml:space="preserve">INSTITUTO NACIONAL ELECTORAL JLE PUEBLA </t>
  </si>
  <si>
    <t>Mantener la Certificación de Calidad en Normas ISO.</t>
  </si>
  <si>
    <t>Dirección de Operación y Seguimiento (DOS)</t>
  </si>
  <si>
    <t>• Remuneración económica.
• Buen clima laboral.
• Información Institucional.
• Capacitación.
• Conocimiento de las funciones de los puestos.</t>
  </si>
  <si>
    <t>Evaluaciones de competencias.</t>
  </si>
  <si>
    <t>• Referenciar correctamente el domicilio de la ciudadanía.
• Actualizar la cartografía electoral para el uso de los MAC´s.</t>
  </si>
  <si>
    <t xml:space="preserve">• Brindar información a la ciudadanía de la documentación requerida para el trámite de credencial.
• Informar al ciudadano del estatus de su trámite de la CPV.
• Recibir, canalizar y dar seguimiento a las quejas ciudadanas.
• Generar cita para el trámite de la CPV.
• Recibir denuncias por robo y/o extravío de la CPV.
• Recibir, canalizar y dar seguimiento a quejas y/o denuncias en contra del personal de MAC. </t>
  </si>
  <si>
    <t>• Brindar la información más oportuna y adecuada para el trámite de la credencial.
• Atender un gran porcentaje de citas programadas.
• Brindar a la ciudadanía los requisitos adecuadamente en los medios de comunicación de la DAC para no recibir quejas.
• Dar inmediata respuesta a las quejas presentadas.</t>
  </si>
  <si>
    <t>• Base de datos del Padrón Electoral.                                 • Internet para generar las citas programadas.                                                        • Sistema Remedy para registrar las atenciones. ciudadanas por teléfono y presenciales.                                                         • SIIRFE Monitoreo Trámites y Credenciales Robadas y Extraviadas.</t>
  </si>
  <si>
    <t>• Documentos normativos-administrativos, con la finalidad de contribuir al cumplimiento de los programas y proyectos.</t>
  </si>
  <si>
    <t>DEA, DOS y Junta Local Ejecutiva.</t>
  </si>
  <si>
    <t>Juntas Local y Distritales Ejecutivas.</t>
  </si>
  <si>
    <t>Junta Local Ejecutiva/ Cartografía Estatal.</t>
  </si>
  <si>
    <t>Junta Local Ejecutiva/  CECEOC.</t>
  </si>
  <si>
    <t>• Actualización de las versiones del SIIRFE-MAC, permitiendo realizar el levantamiento de tramites en forma correcta.</t>
  </si>
  <si>
    <r>
      <t>• Base de datos capturadas correctamente.
• Que no existan afectaciones o errores en la base de datos del INE.
• Digitalización correcta de la documentación de la ciudadanía.
• Que la operación no sea interrumpid</t>
    </r>
    <r>
      <rPr>
        <sz val="10"/>
        <rFont val="Arial"/>
        <family val="2"/>
      </rPr>
      <t>a</t>
    </r>
    <r>
      <rPr>
        <sz val="10"/>
        <color theme="1"/>
        <rFont val="Arial"/>
        <family val="2"/>
      </rPr>
      <t xml:space="preserve"> por falta de insumos.
• Todas las validaciones, solicitudes, inscripciones, envío y recibo de información adecuadas.</t>
    </r>
  </si>
  <si>
    <t>• Contar con un instrumento confiable de identificación ciudadana que le permita ser fuente confiable para otorgar servicios a sus clientes.</t>
  </si>
  <si>
    <t>• Que se aplique lo estipulado en la Constitución Política Mexicana y leyes reglamentarias, así como convenios que se establezcan con el Instituto.</t>
  </si>
  <si>
    <t xml:space="preserve">• Pago oportuno.
• Negocio permanente.
</t>
  </si>
  <si>
    <t>•Evaluaciones de proveedores.</t>
  </si>
  <si>
    <r>
      <t xml:space="preserve">•Información oportuna y certera, contenida en los instrumentos electorales a cargo del </t>
    </r>
    <r>
      <rPr>
        <sz val="10"/>
        <rFont val="Arial"/>
        <family val="2"/>
      </rPr>
      <t>I</t>
    </r>
    <r>
      <rPr>
        <sz val="10"/>
        <color theme="1"/>
        <rFont val="Arial"/>
        <family val="2"/>
      </rPr>
      <t>nstituto.</t>
    </r>
  </si>
  <si>
    <t>• Obtener un documento oficial que permite la identidad de la ciudadanía.
• Recibir información clara y precisa para el trámite de la credencial.
• Obtener orientación de los requisitos que deben cumplir sus documentos para el trámite.
• No tener errores en la impresión de la Credencial para Votar
• Ser atendidos con cordialidad y respeto sin discriminación por parte del personal.</t>
  </si>
  <si>
    <t>Medios de Comunicación</t>
  </si>
  <si>
    <t>• La información proporcionada por la institución se realice de manera oportuna y verídica conforme a los trámites que se realizan en los MAC 's.</t>
  </si>
  <si>
    <t>Juntas Local y Distritales Ejecutivas/MAC 's.</t>
  </si>
  <si>
    <t>• Que los anuncios del INE sean trasmitidos a la ciudadanía en radio, televisión y redes sociales.</t>
  </si>
  <si>
    <t>• Contar con un Padrón y Lista Nominal de Electores confiable, en los que no existan duplicidades y este depurado.
• Que el nivel de cobertura permita asegurar el derecho del voto de la ciudadanía.</t>
  </si>
  <si>
    <t>• Con los informes de los Órganos de Vigilancia, a través de las sesiones que se desarrollan en los mismo.</t>
  </si>
  <si>
    <r>
      <t>• Las funciones, actividades y procedimientos que se establecen para la operación del Módulo de Atención Ciudadana son comprendidas y aplicadas en su totalidad.
• La efectividad de la Capacitación del personal es reflejada en la operación del MAC.
• Los procedimientos de seguimiento y evaluación de la operación arrojen los resultados positivos.
• Correcta aplicación de</t>
    </r>
    <r>
      <rPr>
        <sz val="10"/>
        <rFont val="Arial"/>
        <family val="2"/>
      </rPr>
      <t xml:space="preserve"> las Instrucciones de Trabajo para la Operación del Módulo de Atención Ciudadana.</t>
    </r>
    <r>
      <rPr>
        <sz val="10"/>
        <color theme="1"/>
        <rFont val="Arial"/>
        <family val="2"/>
      </rPr>
      <t xml:space="preserve">
• Equipo tecnológico, infraestructura, mobiliario y parque vehicular </t>
    </r>
    <r>
      <rPr>
        <sz val="10"/>
        <color theme="1"/>
        <rFont val="Arial"/>
        <family val="2"/>
      </rPr>
      <t>suficientes que se mantengan en buen estado.</t>
    </r>
  </si>
  <si>
    <r>
      <t xml:space="preserve">Dirección de Cartografía </t>
    </r>
    <r>
      <rPr>
        <sz val="11"/>
        <rFont val="Arial"/>
        <family val="2"/>
      </rPr>
      <t>Electoral</t>
    </r>
    <r>
      <rPr>
        <sz val="11"/>
        <color theme="1"/>
        <rFont val="Arial"/>
        <family val="2"/>
      </rPr>
      <t xml:space="preserve"> (DCE)</t>
    </r>
  </si>
  <si>
    <r>
      <rPr>
        <sz val="11"/>
        <rFont val="Arial"/>
        <family val="2"/>
      </rPr>
      <t xml:space="preserve">Centro de Consulta y Resguardo Documental </t>
    </r>
    <r>
      <rPr>
        <sz val="11"/>
        <color theme="1"/>
        <rFont val="Arial"/>
        <family val="2"/>
      </rPr>
      <t>(CECyRD)</t>
    </r>
  </si>
  <si>
    <t>Juntas Local y Distritales Ejecutivas/Órganos de Vigilancia.</t>
  </si>
  <si>
    <r>
      <t>Juntas Local y Distritales Ejecutivas</t>
    </r>
    <r>
      <rPr>
        <sz val="10"/>
        <rFont val="Arial"/>
        <family val="2"/>
      </rPr>
      <t>/MAC´s.</t>
    </r>
  </si>
  <si>
    <t>• Credencial para Votar.</t>
  </si>
  <si>
    <t>Realizar convenios de capacitación relacionados con protección civil.</t>
  </si>
  <si>
    <t xml:space="preserve">Organizar procesos electorales libres, equitativos y confiables, para garantizar el ejercicio de los derechos político-electorales de la ciudadanía y contribuir al desarrollo de la vida democrática de México.
</t>
  </si>
  <si>
    <t xml:space="preserve">Ser el organismo electoral nacional autónomo que contribuya a la consolidación de la cultura y convivencia democrática en México, distinguiéndose por ser una institución, moderna, transparente y eficiente, en la que la sociedad confíe plenamente para la organización de elecciones equitativas e imparciales.
</t>
  </si>
  <si>
    <t xml:space="preserve">Confianza, Tolerancia, Compromiso, Transparencia y Rendición de Cuentas.
</t>
  </si>
  <si>
    <t xml:space="preserve">Certeza, Legalidad, Independencia, Imparcialidad, Objetividad y Máxima Publicidad.
</t>
  </si>
  <si>
    <t>POLÍTICA DE LA CALIDAD</t>
  </si>
  <si>
    <t>Elementos conceptuales: Quiénes somos, a dónde queremos llegar.</t>
  </si>
  <si>
    <t>CONCEPTOS - FILOSOFÍA    ←</t>
  </si>
  <si>
    <t xml:space="preserve">  1b. Política de la Calidad y Objetivos de la Calidad</t>
  </si>
  <si>
    <t>Proceso Estratégico y Procesos de  Apoyo identificados en el Anexo 1 del Manual del Sistema de Gestión de la Calidad.</t>
  </si>
  <si>
    <t>Coordinadores de Calidad</t>
  </si>
  <si>
    <t xml:space="preserve">Dr. Marcos Rodríguez del Castillo
Lic. Marcelo Pineda Pineda
C. Lilia Andrea Morales Benavides
</t>
  </si>
  <si>
    <t>Procedimientos estandarizados para la operación de los MAC´s a través del Sistema Integral de Información del Registro Federal de Electores (SIIRFE), las Instrucciones de Trabajo y del Sistema de Gestión de la Calidad.</t>
  </si>
  <si>
    <t xml:space="preserve">Aplicación de programas de Depuración al Padrón Electoral con la exclusión de las y los ciudadanos fallecidos, suspendidos en sus Derechos Político-Electorales, duplicados, con datos presuntamente irregulares, pérdida de vigencia de la credencial y aplicación del artículo 155 de la LGIPE. </t>
  </si>
  <si>
    <t>El posicionamiento de la Credencial para Votar como el principal medio de identificación aceptado.</t>
  </si>
  <si>
    <t>Aplicación de protocolos para el regreso a la "nueva normalidad" derivada de la pandemia por COVID-19,  para la atención de grupos vulnerables y atención de la ciudadanía en un marco de no discriminación por género u orientación sexual, grupos indígenas, situación religiosa, repatriados, víctimas de violencia, etc.</t>
  </si>
  <si>
    <t>Aplicación de procedimientos en el marco de los principios rectores de certeza, legalidad y máxima publicidad, relativos al tratamiento de sus datos personales, así como las causas de improcedencia del trámite, en su caso.</t>
  </si>
  <si>
    <t>Falta de información en los MAC´s, del estatus del trámite de la Credencial para Votar, lo cual impide dar una orientación y respuesta oportuna a la ciudadanía.</t>
  </si>
  <si>
    <t>Falta de parque vehicular equipado para módulos itinerantes y el mantenimiento oportuno por parte de la empresa arrendadora.</t>
  </si>
  <si>
    <t>Aprovechar las redes sociales existentes para la información relativa a requisitos, directorio de MAC´s, cierre de MAC´s, horarios, entre otros.</t>
  </si>
  <si>
    <t>Contar con una cartera amplia de proveedores para la adquisición de bienes y servicios.</t>
  </si>
  <si>
    <t>Intentos de intromisión de poderes del Estado mexicano que atentan contra la autonomía del Instituto.</t>
  </si>
  <si>
    <t>Módulos móviles: 210153, 210154, 210155, 210253, 210254, 210255, 210353, 210354, 210453, 210454, 210553, 210853, 210854, 210855, 211052, 211353, 211454, 211455, 211456, 211552</t>
  </si>
  <si>
    <t>Carretera Internacional a Oaxaca sin número, Colonia Barrio La Palma, C.P. 74949, Acatlán, Puebla.</t>
  </si>
  <si>
    <t>Boulevard Aldama número 2002, Colonia Fracc. Arcadia, C.P. 75760, Tehuacán, Puebla.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</si>
</sst>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0.0"/>
  </numFmts>
  <fonts count="105" x14ac:knownFonts="1">
    <font>
      <sz val="11"/>
      <color theme="1"/>
      <name val="Calibri"/>
      <family val="2"/>
      <scheme val="minor"/>
    </font>
    <font>
      <b/>
      <sz val="11"/>
      <color theme="0"/>
      <name val="Calibri"/>
      <family val="2"/>
      <scheme val="minor"/>
    </font>
    <font>
      <sz val="11"/>
      <color theme="1"/>
      <name val="Calibri"/>
      <family val="2"/>
      <scheme val="minor"/>
    </font>
    <font>
      <sz val="11"/>
      <color rgb="FF9C6500"/>
      <name val="Calibri"/>
      <family val="2"/>
      <scheme val="minor"/>
    </font>
    <font>
      <sz val="11"/>
      <name val="Tahoma"/>
      <family val="2"/>
    </font>
    <font>
      <sz val="8"/>
      <name val="Arial"/>
      <family val="2"/>
    </font>
    <font>
      <sz val="10"/>
      <name val="Arial"/>
      <family val="2"/>
    </font>
    <font>
      <b/>
      <sz val="14"/>
      <color theme="0"/>
      <name val="Tahoma"/>
      <family val="2"/>
    </font>
    <font>
      <sz val="10"/>
      <color indexed="42"/>
      <name val="Arial"/>
      <family val="2"/>
    </font>
    <font>
      <sz val="12"/>
      <name val="Arial"/>
      <family val="2"/>
    </font>
    <font>
      <u/>
      <sz val="10"/>
      <color indexed="12"/>
      <name val="Arial"/>
      <family val="2"/>
    </font>
    <font>
      <sz val="12"/>
      <color indexed="42"/>
      <name val="Arial"/>
      <family val="2"/>
    </font>
    <font>
      <sz val="14"/>
      <name val="Arial"/>
      <family val="2"/>
    </font>
    <font>
      <b/>
      <sz val="12"/>
      <color indexed="81"/>
      <name val="Tahoma"/>
      <family val="2"/>
    </font>
    <font>
      <b/>
      <sz val="12"/>
      <color theme="0"/>
      <name val="Arial"/>
      <family val="2"/>
    </font>
    <font>
      <sz val="11"/>
      <color theme="1"/>
      <name val="Arial"/>
      <family val="2"/>
    </font>
    <font>
      <b/>
      <sz val="22"/>
      <color theme="0"/>
      <name val="Arial"/>
      <family val="2"/>
    </font>
    <font>
      <sz val="11"/>
      <color rgb="FF9C6500"/>
      <name val="Arial"/>
      <family val="2"/>
    </font>
    <font>
      <u/>
      <sz val="12"/>
      <color rgb="FF9C6500"/>
      <name val="Arial"/>
      <family val="2"/>
    </font>
    <font>
      <u/>
      <sz val="11"/>
      <color rgb="FF9C6500"/>
      <name val="Arial"/>
      <family val="2"/>
    </font>
    <font>
      <b/>
      <u/>
      <sz val="12"/>
      <color rgb="FF9C6500"/>
      <name val="Arial"/>
      <family val="2"/>
    </font>
    <font>
      <b/>
      <u/>
      <sz val="11"/>
      <color theme="5" tint="-0.499984740745262"/>
      <name val="Arial"/>
      <family val="2"/>
    </font>
    <font>
      <b/>
      <u/>
      <sz val="11"/>
      <color rgb="FF9C6500"/>
      <name val="Arial"/>
      <family val="2"/>
    </font>
    <font>
      <b/>
      <u/>
      <sz val="12"/>
      <color theme="6" tint="-0.499984740745262"/>
      <name val="Arial"/>
      <family val="2"/>
    </font>
    <font>
      <b/>
      <sz val="14"/>
      <color theme="0"/>
      <name val="Arial"/>
      <family val="2"/>
    </font>
    <font>
      <b/>
      <u/>
      <sz val="12"/>
      <color theme="0"/>
      <name val="Arial"/>
      <family val="2"/>
    </font>
    <font>
      <b/>
      <sz val="8"/>
      <name val="Arial"/>
      <family val="2"/>
    </font>
    <font>
      <b/>
      <sz val="14"/>
      <color indexed="59"/>
      <name val="Arial"/>
      <family val="2"/>
    </font>
    <font>
      <sz val="12"/>
      <color indexed="23"/>
      <name val="Arial"/>
      <family val="2"/>
    </font>
    <font>
      <sz val="12"/>
      <color indexed="63"/>
      <name val="Arial"/>
      <family val="2"/>
    </font>
    <font>
      <sz val="11"/>
      <name val="Arial"/>
      <family val="2"/>
    </font>
    <font>
      <sz val="12"/>
      <color indexed="59"/>
      <name val="Arial"/>
      <family val="2"/>
    </font>
    <font>
      <sz val="11"/>
      <color indexed="23"/>
      <name val="Arial"/>
      <family val="2"/>
    </font>
    <font>
      <sz val="11"/>
      <color indexed="63"/>
      <name val="Arial"/>
      <family val="2"/>
    </font>
    <font>
      <u/>
      <sz val="12"/>
      <color indexed="23"/>
      <name val="Arial"/>
      <family val="2"/>
    </font>
    <font>
      <b/>
      <sz val="16"/>
      <color theme="0"/>
      <name val="Arial"/>
      <family val="2"/>
    </font>
    <font>
      <b/>
      <sz val="11"/>
      <name val="Arial"/>
      <family val="2"/>
    </font>
    <font>
      <b/>
      <sz val="8"/>
      <color indexed="16"/>
      <name val="Arial"/>
      <family val="2"/>
    </font>
    <font>
      <b/>
      <sz val="20"/>
      <name val="Arial"/>
      <family val="2"/>
    </font>
    <font>
      <b/>
      <sz val="12"/>
      <name val="Arial"/>
      <family val="2"/>
    </font>
    <font>
      <b/>
      <sz val="14"/>
      <color theme="9" tint="-0.249977111117893"/>
      <name val="Arial"/>
      <family val="2"/>
    </font>
    <font>
      <b/>
      <sz val="16"/>
      <color indexed="23"/>
      <name val="Arial"/>
      <family val="2"/>
    </font>
    <font>
      <b/>
      <sz val="22"/>
      <color theme="9" tint="-0.249977111117893"/>
      <name val="Arial"/>
      <family val="2"/>
    </font>
    <font>
      <b/>
      <sz val="14"/>
      <color indexed="23"/>
      <name val="Arial"/>
      <family val="2"/>
    </font>
    <font>
      <b/>
      <sz val="14"/>
      <color theme="4" tint="-0.499984740745262"/>
      <name val="Arial"/>
      <family val="2"/>
    </font>
    <font>
      <b/>
      <sz val="14"/>
      <color rgb="FF1D1D1B"/>
      <name val="Arial"/>
      <family val="2"/>
    </font>
    <font>
      <b/>
      <sz val="16"/>
      <color rgb="FF1D1D1B"/>
      <name val="Arial"/>
      <family val="2"/>
    </font>
    <font>
      <b/>
      <sz val="14"/>
      <name val="Arial"/>
      <family val="2"/>
    </font>
    <font>
      <sz val="12"/>
      <color rgb="FF950054"/>
      <name val="Arial"/>
      <family val="2"/>
    </font>
    <font>
      <sz val="14"/>
      <color rgb="FF950054"/>
      <name val="Arial"/>
      <family val="2"/>
    </font>
    <font>
      <b/>
      <sz val="12"/>
      <color rgb="FF950054"/>
      <name val="Arial"/>
      <family val="2"/>
    </font>
    <font>
      <b/>
      <u/>
      <sz val="11"/>
      <color theme="0"/>
      <name val="Arial"/>
      <family val="2"/>
    </font>
    <font>
      <b/>
      <sz val="11"/>
      <color theme="0"/>
      <name val="Arial"/>
      <family val="2"/>
    </font>
    <font>
      <b/>
      <u/>
      <sz val="11"/>
      <color theme="6" tint="-0.499984740745262"/>
      <name val="Arial"/>
      <family val="2"/>
    </font>
    <font>
      <b/>
      <sz val="11"/>
      <color rgb="FF1D1D1B"/>
      <name val="Arial"/>
      <family val="2"/>
    </font>
    <font>
      <b/>
      <sz val="11"/>
      <color indexed="63"/>
      <name val="Arial"/>
      <family val="2"/>
    </font>
    <font>
      <b/>
      <u/>
      <sz val="11"/>
      <color indexed="63"/>
      <name val="Arial"/>
      <family val="2"/>
    </font>
    <font>
      <sz val="12"/>
      <color rgb="FFC00000"/>
      <name val="Arial"/>
      <family val="2"/>
    </font>
    <font>
      <b/>
      <sz val="12"/>
      <color indexed="23"/>
      <name val="Arial"/>
      <family val="2"/>
    </font>
    <font>
      <b/>
      <sz val="12"/>
      <color indexed="81"/>
      <name val="Arial"/>
      <family val="2"/>
    </font>
    <font>
      <b/>
      <sz val="18"/>
      <color theme="1"/>
      <name val="Arial"/>
      <family val="2"/>
    </font>
    <font>
      <sz val="11"/>
      <color theme="0"/>
      <name val="Arial"/>
      <family val="2"/>
    </font>
    <font>
      <sz val="10"/>
      <color theme="0"/>
      <name val="Arial"/>
      <family val="2"/>
    </font>
    <font>
      <sz val="12"/>
      <color theme="0"/>
      <name val="Arial"/>
      <family val="2"/>
    </font>
    <font>
      <sz val="14"/>
      <color theme="0"/>
      <name val="Arial"/>
      <family val="2"/>
    </font>
    <font>
      <sz val="18"/>
      <color theme="1"/>
      <name val="Arial"/>
      <family val="2"/>
    </font>
    <font>
      <b/>
      <sz val="10"/>
      <color theme="0"/>
      <name val="Arial"/>
      <family val="2"/>
    </font>
    <font>
      <b/>
      <sz val="10"/>
      <name val="Arial"/>
      <family val="2"/>
    </font>
    <font>
      <sz val="10"/>
      <color theme="1"/>
      <name val="Arial"/>
      <family val="2"/>
    </font>
    <font>
      <sz val="10"/>
      <color rgb="FFFF0000"/>
      <name val="Arial"/>
      <family val="2"/>
    </font>
    <font>
      <b/>
      <sz val="10"/>
      <color theme="1"/>
      <name val="Arial"/>
      <family val="2"/>
    </font>
    <font>
      <b/>
      <sz val="10"/>
      <color rgb="FFFF0000"/>
      <name val="Arial"/>
      <family val="2"/>
    </font>
    <font>
      <b/>
      <sz val="10"/>
      <color rgb="FF1D1D1B"/>
      <name val="Arial"/>
      <family val="2"/>
    </font>
    <font>
      <b/>
      <sz val="11"/>
      <color theme="1"/>
      <name val="Arial"/>
      <family val="2"/>
    </font>
    <font>
      <b/>
      <sz val="18"/>
      <color theme="0"/>
      <name val="Arial"/>
      <family val="2"/>
    </font>
    <font>
      <sz val="24"/>
      <name val="Arial"/>
      <family val="2"/>
    </font>
    <font>
      <b/>
      <sz val="12"/>
      <color theme="1"/>
      <name val="Arial"/>
      <family val="2"/>
    </font>
    <font>
      <sz val="8"/>
      <color rgb="FFFF0000"/>
      <name val="Arial"/>
      <family val="2"/>
    </font>
    <font>
      <sz val="11"/>
      <color rgb="FF1D1D1B"/>
      <name val="Arial"/>
      <family val="2"/>
    </font>
    <font>
      <sz val="10"/>
      <color rgb="FF1D1D1B"/>
      <name val="Arial"/>
      <family val="2"/>
    </font>
    <font>
      <sz val="12"/>
      <color theme="1"/>
      <name val="Arial"/>
      <family val="2"/>
    </font>
    <font>
      <sz val="10"/>
      <color rgb="FF000000"/>
      <name val="Arial"/>
      <family val="2"/>
    </font>
    <font>
      <b/>
      <sz val="14"/>
      <color rgb="FF000000"/>
      <name val="Arial"/>
      <family val="2"/>
    </font>
    <font>
      <sz val="14"/>
      <color theme="1"/>
      <name val="Arial"/>
      <family val="2"/>
    </font>
    <font>
      <sz val="14"/>
      <color rgb="FF000000"/>
      <name val="Arial"/>
      <family val="2"/>
    </font>
    <font>
      <b/>
      <sz val="14"/>
      <color theme="1"/>
      <name val="Arial"/>
      <family val="2"/>
    </font>
    <font>
      <sz val="14"/>
      <color rgb="FF9C6500"/>
      <name val="Arial"/>
      <family val="2"/>
    </font>
    <font>
      <sz val="20"/>
      <color theme="1"/>
      <name val="Arial"/>
      <family val="2"/>
    </font>
    <font>
      <b/>
      <sz val="20"/>
      <color rgb="FF000000"/>
      <name val="Arial"/>
      <family val="2"/>
    </font>
    <font>
      <sz val="20"/>
      <color rgb="FF000000"/>
      <name val="Arial"/>
      <family val="2"/>
    </font>
    <font>
      <b/>
      <sz val="20"/>
      <color theme="1"/>
      <name val="Arial"/>
      <family val="2"/>
    </font>
    <font>
      <sz val="26"/>
      <color theme="1"/>
      <name val="Arial"/>
      <family val="2"/>
    </font>
    <font>
      <b/>
      <sz val="26"/>
      <color rgb="FF000000"/>
      <name val="Arial"/>
      <family val="2"/>
    </font>
    <font>
      <sz val="26"/>
      <name val="Arial"/>
      <family val="2"/>
    </font>
    <font>
      <sz val="26"/>
      <color rgb="FF000000"/>
      <name val="Arial"/>
      <family val="2"/>
    </font>
    <font>
      <b/>
      <sz val="26"/>
      <color theme="1"/>
      <name val="Arial"/>
      <family val="2"/>
    </font>
    <font>
      <sz val="26"/>
      <color rgb="FF1D1D1B"/>
      <name val="Arial"/>
      <family val="2"/>
    </font>
    <font>
      <sz val="11"/>
      <color rgb="FF000000"/>
      <name val="Calibri"/>
      <family val="2"/>
    </font>
    <font>
      <sz val="11"/>
      <color rgb="FFFF0000"/>
      <name val="Arial"/>
      <family val="2"/>
    </font>
    <font>
      <b/>
      <sz val="12"/>
      <color rgb="FFFF0000"/>
      <name val="Arial"/>
      <family val="2"/>
    </font>
    <font>
      <sz val="12"/>
      <color rgb="FFFF0000"/>
      <name val="Arial"/>
      <family val="2"/>
    </font>
    <font>
      <b/>
      <sz val="26"/>
      <name val="Arial"/>
      <family val="2"/>
    </font>
    <font>
      <sz val="11"/>
      <color rgb="FF000000"/>
      <name val="Arial"/>
      <family val="2"/>
    </font>
    <font>
      <sz val="10"/>
      <color rgb="FFFFC000"/>
      <name val="Arial"/>
      <family val="2"/>
    </font>
    <font>
      <b/>
      <sz val="8"/>
      <color rgb="FF000000"/>
      <name val="Arial"/>
      <family val="2"/>
    </font>
  </fonts>
  <fills count="37">
    <fill>
      <patternFill patternType="none"/>
    </fill>
    <fill>
      <patternFill patternType="gray125"/>
    </fill>
    <fill>
      <patternFill patternType="solid">
        <fgColor rgb="FF008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33CC33"/>
        <bgColor indexed="64"/>
      </patternFill>
    </fill>
    <fill>
      <patternFill patternType="solid">
        <fgColor rgb="FF006600"/>
        <bgColor indexed="64"/>
      </patternFill>
    </fill>
    <fill>
      <patternFill patternType="solid">
        <fgColor theme="0"/>
        <bgColor indexed="64"/>
      </patternFill>
    </fill>
    <fill>
      <patternFill patternType="solid">
        <fgColor rgb="FFCCFFCC"/>
        <bgColor indexed="64"/>
      </patternFill>
    </fill>
    <fill>
      <patternFill patternType="solid">
        <fgColor rgb="FF99FF66"/>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8"/>
        <bgColor indexed="64"/>
      </patternFill>
    </fill>
    <fill>
      <patternFill patternType="solid">
        <fgColor theme="0" tint="-0.499984740745262"/>
        <bgColor indexed="64"/>
      </patternFill>
    </fill>
    <fill>
      <patternFill patternType="solid">
        <fgColor theme="1"/>
        <bgColor indexed="64"/>
      </patternFill>
    </fill>
    <fill>
      <patternFill patternType="solid">
        <fgColor rgb="FFFFFF66"/>
        <bgColor indexed="64"/>
      </patternFill>
    </fill>
    <fill>
      <patternFill patternType="solid">
        <fgColor rgb="FFFFCCCC"/>
        <bgColor indexed="64"/>
      </patternFill>
    </fill>
    <fill>
      <patternFill patternType="solid">
        <fgColor theme="4" tint="-0.499984740745262"/>
        <bgColor indexed="64"/>
      </patternFill>
    </fill>
    <fill>
      <patternFill patternType="solid">
        <fgColor rgb="FF000066"/>
        <bgColor indexed="64"/>
      </patternFill>
    </fill>
    <fill>
      <patternFill patternType="solid">
        <fgColor rgb="FF0000CC"/>
        <bgColor indexed="64"/>
      </patternFill>
    </fill>
    <fill>
      <patternFill patternType="solid">
        <fgColor rgb="FFD9F1FF"/>
        <bgColor indexed="64"/>
      </patternFill>
    </fill>
    <fill>
      <patternFill patternType="solid">
        <fgColor rgb="FFDDFFDD"/>
        <bgColor indexed="64"/>
      </patternFill>
    </fill>
    <fill>
      <patternFill patternType="solid">
        <fgColor rgb="FFFFCDFF"/>
        <bgColor indexed="64"/>
      </patternFill>
    </fill>
    <fill>
      <patternFill patternType="solid">
        <fgColor rgb="FFED9FFF"/>
        <bgColor indexed="64"/>
      </patternFill>
    </fill>
    <fill>
      <patternFill patternType="solid">
        <fgColor rgb="FFFFEB9C"/>
      </patternFill>
    </fill>
    <fill>
      <patternFill patternType="solid">
        <fgColor rgb="FFEBF1DE"/>
        <bgColor rgb="FFEBF1DE"/>
      </patternFill>
    </fill>
    <fill>
      <patternFill patternType="solid">
        <fgColor theme="6" tint="-0.499984740745262"/>
        <bgColor theme="6" tint="-0.499984740745262"/>
      </patternFill>
    </fill>
    <fill>
      <patternFill patternType="solid">
        <fgColor rgb="FFD5007F"/>
        <bgColor indexed="64"/>
      </patternFill>
    </fill>
    <fill>
      <patternFill patternType="solid">
        <fgColor rgb="FFD5007F"/>
        <bgColor theme="6" tint="-0.499984740745262"/>
      </patternFill>
    </fill>
    <fill>
      <patternFill patternType="solid">
        <fgColor rgb="FFB2B2B2"/>
        <bgColor indexed="64"/>
      </patternFill>
    </fill>
    <fill>
      <patternFill patternType="solid">
        <fgColor rgb="FF950054"/>
        <bgColor indexed="64"/>
      </patternFill>
    </fill>
    <fill>
      <patternFill patternType="solid">
        <fgColor theme="0"/>
      </patternFill>
    </fill>
    <fill>
      <patternFill patternType="solid">
        <fgColor rgb="FF0070C0"/>
        <bgColor indexed="64"/>
      </patternFill>
    </fill>
    <fill>
      <patternFill patternType="solid">
        <fgColor rgb="FFFFFFFF"/>
        <bgColor rgb="FFFFFFFF"/>
      </patternFill>
    </fill>
    <fill>
      <patternFill patternType="solid">
        <fgColor theme="0" tint="-0.14999847407452621"/>
        <bgColor indexed="64"/>
      </patternFill>
    </fill>
  </fills>
  <borders count="1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double">
        <color auto="1"/>
      </right>
      <top style="double">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indexed="64"/>
      </left>
      <right style="double">
        <color indexed="64"/>
      </right>
      <top style="double">
        <color indexed="64"/>
      </top>
      <bottom style="double">
        <color indexed="64"/>
      </bottom>
      <diagonal/>
    </border>
    <border>
      <left style="double">
        <color auto="1"/>
      </left>
      <right style="hair">
        <color auto="1"/>
      </right>
      <top/>
      <bottom style="hair">
        <color auto="1"/>
      </bottom>
      <diagonal/>
    </border>
    <border>
      <left style="hair">
        <color auto="1"/>
      </left>
      <right style="double">
        <color auto="1"/>
      </right>
      <top/>
      <bottom style="hair">
        <color auto="1"/>
      </bottom>
      <diagonal/>
    </border>
    <border>
      <left style="double">
        <color theme="0" tint="-0.34998626667073579"/>
      </left>
      <right/>
      <top style="double">
        <color theme="0" tint="-0.34998626667073579"/>
      </top>
      <bottom style="hair">
        <color theme="0" tint="-0.34998626667073579"/>
      </bottom>
      <diagonal/>
    </border>
    <border>
      <left style="double">
        <color theme="0" tint="-0.34998626667073579"/>
      </left>
      <right/>
      <top style="hair">
        <color theme="0" tint="-0.34998626667073579"/>
      </top>
      <bottom style="hair">
        <color theme="0" tint="-0.34998626667073579"/>
      </bottom>
      <diagonal/>
    </border>
    <border>
      <left style="double">
        <color theme="0" tint="-0.34998626667073579"/>
      </left>
      <right/>
      <top style="hair">
        <color theme="0" tint="-0.34998626667073579"/>
      </top>
      <bottom style="double">
        <color theme="0" tint="-0.34998626667073579"/>
      </bottom>
      <diagonal/>
    </border>
    <border>
      <left style="double">
        <color auto="1"/>
      </left>
      <right style="hair">
        <color theme="0" tint="-0.34998626667073579"/>
      </right>
      <top style="hair">
        <color auto="1"/>
      </top>
      <bottom style="hair">
        <color auto="1"/>
      </bottom>
      <diagonal/>
    </border>
    <border>
      <left style="hair">
        <color theme="0" tint="-0.34998626667073579"/>
      </left>
      <right style="hair">
        <color theme="0" tint="-0.34998626667073579"/>
      </right>
      <top style="hair">
        <color auto="1"/>
      </top>
      <bottom style="hair">
        <color auto="1"/>
      </bottom>
      <diagonal/>
    </border>
    <border>
      <left style="hair">
        <color theme="0" tint="-0.34998626667073579"/>
      </left>
      <right style="double">
        <color auto="1"/>
      </right>
      <top style="hair">
        <color auto="1"/>
      </top>
      <bottom style="hair">
        <color auto="1"/>
      </bottom>
      <diagonal/>
    </border>
    <border>
      <left style="double">
        <color auto="1"/>
      </left>
      <right style="hair">
        <color theme="0" tint="-0.34998626667073579"/>
      </right>
      <top style="hair">
        <color auto="1"/>
      </top>
      <bottom style="double">
        <color auto="1"/>
      </bottom>
      <diagonal/>
    </border>
    <border>
      <left style="hair">
        <color theme="0" tint="-0.34998626667073579"/>
      </left>
      <right style="hair">
        <color theme="0" tint="-0.34998626667073579"/>
      </right>
      <top style="hair">
        <color auto="1"/>
      </top>
      <bottom style="double">
        <color auto="1"/>
      </bottom>
      <diagonal/>
    </border>
    <border>
      <left style="hair">
        <color theme="0" tint="-0.34998626667073579"/>
      </left>
      <right style="double">
        <color auto="1"/>
      </right>
      <top style="hair">
        <color auto="1"/>
      </top>
      <bottom style="double">
        <color auto="1"/>
      </bottom>
      <diagonal/>
    </border>
    <border>
      <left/>
      <right style="thick">
        <color indexed="64"/>
      </right>
      <top/>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top style="thin">
        <color indexed="64"/>
      </top>
      <bottom/>
      <diagonal/>
    </border>
    <border>
      <left/>
      <right style="thin">
        <color indexed="64"/>
      </right>
      <top/>
      <bottom style="thick">
        <color indexed="64"/>
      </bottom>
      <diagonal/>
    </border>
    <border>
      <left/>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n">
        <color indexed="64"/>
      </bottom>
      <diagonal/>
    </border>
    <border>
      <left/>
      <right/>
      <top style="hair">
        <color indexed="64"/>
      </top>
      <bottom/>
      <diagonal/>
    </border>
    <border>
      <left/>
      <right/>
      <top/>
      <bottom style="hair">
        <color indexed="64"/>
      </bottom>
      <diagonal/>
    </border>
    <border>
      <left style="hair">
        <color auto="1"/>
      </left>
      <right style="double">
        <color auto="1"/>
      </right>
      <top style="double">
        <color auto="1"/>
      </top>
      <bottom style="double">
        <color indexed="64"/>
      </bottom>
      <diagonal/>
    </border>
    <border>
      <left style="hair">
        <color auto="1"/>
      </left>
      <right style="hair">
        <color auto="1"/>
      </right>
      <top style="double">
        <color auto="1"/>
      </top>
      <bottom style="double">
        <color indexed="64"/>
      </bottom>
      <diagonal/>
    </border>
    <border>
      <left style="double">
        <color auto="1"/>
      </left>
      <right style="hair">
        <color auto="1"/>
      </right>
      <top style="double">
        <color auto="1"/>
      </top>
      <bottom style="double">
        <color indexed="64"/>
      </bottom>
      <diagonal/>
    </border>
    <border>
      <left style="hair">
        <color indexed="64"/>
      </left>
      <right/>
      <top/>
      <bottom/>
      <diagonal/>
    </border>
    <border>
      <left/>
      <right style="hair">
        <color indexed="64"/>
      </right>
      <top/>
      <bottom/>
      <diagonal/>
    </border>
    <border>
      <left style="hair">
        <color indexed="64"/>
      </left>
      <right/>
      <top style="hair">
        <color auto="1"/>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thin">
        <color theme="6" tint="-0.499984740745262"/>
      </left>
      <right style="thin">
        <color theme="6" tint="-0.499984740745262"/>
      </right>
      <top style="thick">
        <color theme="6" tint="-0.499984740745262"/>
      </top>
      <bottom style="thick">
        <color theme="6" tint="-0.499984740745262"/>
      </bottom>
      <diagonal/>
    </border>
    <border>
      <left/>
      <right/>
      <top/>
      <bottom style="thin">
        <color theme="5" tint="-0.49998474074526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5" tint="-0.499984740745262"/>
      </top>
      <bottom style="thin">
        <color theme="5" tint="-0.499984740745262"/>
      </bottom>
      <diagonal/>
    </border>
    <border>
      <left style="thin">
        <color theme="0" tint="-0.24994659260841701"/>
      </left>
      <right/>
      <top/>
      <bottom/>
      <diagonal/>
    </border>
    <border>
      <left/>
      <right style="thin">
        <color theme="0" tint="-0.24994659260841701"/>
      </right>
      <top/>
      <bottom/>
      <diagonal/>
    </border>
    <border>
      <left/>
      <right/>
      <top/>
      <bottom style="thin">
        <color indexed="22"/>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4659260841701"/>
      </bottom>
      <diagonal/>
    </border>
    <border>
      <left/>
      <right/>
      <top/>
      <bottom style="thin">
        <color theme="0" tint="-0.14996795556505021"/>
      </bottom>
      <diagonal/>
    </border>
    <border>
      <left/>
      <right/>
      <top/>
      <bottom style="thin">
        <color theme="0" tint="-0.34998626667073579"/>
      </bottom>
      <diagonal/>
    </border>
    <border>
      <left/>
      <right style="thin">
        <color theme="0" tint="-0.24994659260841701"/>
      </right>
      <top style="thin">
        <color theme="0" tint="-0.24994659260841701"/>
      </top>
      <bottom/>
      <diagonal/>
    </border>
    <border>
      <left/>
      <right/>
      <top style="thin">
        <color theme="0" tint="-0.24994659260841701"/>
      </top>
      <bottom/>
      <diagonal/>
    </border>
    <border>
      <left style="thin">
        <color theme="0" tint="-0.24994659260841701"/>
      </left>
      <right/>
      <top style="thin">
        <color theme="0" tint="-0.24994659260841701"/>
      </top>
      <bottom/>
      <diagonal/>
    </border>
    <border>
      <left style="medium">
        <color rgb="FF950054"/>
      </left>
      <right/>
      <top style="medium">
        <color rgb="FF950054"/>
      </top>
      <bottom/>
      <diagonal/>
    </border>
    <border>
      <left/>
      <right/>
      <top style="medium">
        <color rgb="FF950054"/>
      </top>
      <bottom/>
      <diagonal/>
    </border>
    <border>
      <left/>
      <right style="medium">
        <color rgb="FF950054"/>
      </right>
      <top style="medium">
        <color rgb="FF950054"/>
      </top>
      <bottom/>
      <diagonal/>
    </border>
    <border>
      <left style="medium">
        <color rgb="FF950054"/>
      </left>
      <right/>
      <top/>
      <bottom/>
      <diagonal/>
    </border>
    <border>
      <left/>
      <right style="medium">
        <color rgb="FF950054"/>
      </right>
      <top/>
      <bottom/>
      <diagonal/>
    </border>
    <border>
      <left style="medium">
        <color rgb="FF950054"/>
      </left>
      <right/>
      <top/>
      <bottom style="medium">
        <color rgb="FF950054"/>
      </bottom>
      <diagonal/>
    </border>
    <border>
      <left/>
      <right/>
      <top/>
      <bottom style="medium">
        <color rgb="FF950054"/>
      </bottom>
      <diagonal/>
    </border>
    <border>
      <left/>
      <right style="medium">
        <color rgb="FF950054"/>
      </right>
      <top/>
      <bottom style="medium">
        <color rgb="FF95005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hair">
        <color auto="1"/>
      </right>
      <top style="double">
        <color auto="1"/>
      </top>
      <bottom style="hair">
        <color auto="1"/>
      </bottom>
      <diagonal/>
    </border>
    <border>
      <left style="double">
        <color auto="1"/>
      </left>
      <right style="hair">
        <color auto="1"/>
      </right>
      <top style="hair">
        <color auto="1"/>
      </top>
      <bottom/>
      <diagonal/>
    </border>
    <border>
      <left/>
      <right style="double">
        <color auto="1"/>
      </right>
      <top style="hair">
        <color indexed="64"/>
      </top>
      <bottom style="hair">
        <color auto="1"/>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indexed="64"/>
      </left>
      <right/>
      <top/>
      <bottom/>
      <diagonal/>
    </border>
    <border>
      <left/>
      <right style="medium">
        <color indexed="64"/>
      </right>
      <top/>
      <bottom/>
      <diagonal/>
    </border>
    <border>
      <left style="double">
        <color indexed="64"/>
      </left>
      <right style="double">
        <color indexed="64"/>
      </right>
      <top/>
      <bottom style="double">
        <color indexed="64"/>
      </bottom>
      <diagonal/>
    </border>
  </borders>
  <cellStyleXfs count="10">
    <xf numFmtId="0" fontId="0"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 fillId="26" borderId="0" applyNumberFormat="0" applyBorder="0" applyAlignment="0" applyProtection="0"/>
    <xf numFmtId="0" fontId="4" fillId="27" borderId="0" applyFont="0" applyBorder="0" applyAlignment="0"/>
    <xf numFmtId="0" fontId="6" fillId="0" borderId="0"/>
    <xf numFmtId="0" fontId="7" fillId="28" borderId="58">
      <alignment horizontal="center" vertical="center"/>
    </xf>
    <xf numFmtId="0" fontId="10" fillId="0" borderId="0" applyNumberFormat="0" applyFill="0" applyBorder="0" applyAlignment="0" applyProtection="0">
      <alignment vertical="top"/>
      <protection locked="0"/>
    </xf>
    <xf numFmtId="0" fontId="97" fillId="0" borderId="0"/>
  </cellStyleXfs>
  <cellXfs count="606">
    <xf numFmtId="0" fontId="0" fillId="0" borderId="0" xfId="0"/>
    <xf numFmtId="0" fontId="1" fillId="2" borderId="1" xfId="0" applyFont="1" applyFill="1" applyBorder="1" applyAlignment="1">
      <alignment horizontal="center" vertical="center" wrapText="1"/>
    </xf>
    <xf numFmtId="0" fontId="0" fillId="0" borderId="0" xfId="0" applyFill="1" applyBorder="1"/>
    <xf numFmtId="0" fontId="1" fillId="2" borderId="2" xfId="0" applyFont="1" applyFill="1" applyBorder="1" applyAlignment="1">
      <alignment horizontal="center" vertical="center" wrapText="1"/>
    </xf>
    <xf numFmtId="1" fontId="0" fillId="0" borderId="0" xfId="0" applyNumberFormat="1"/>
    <xf numFmtId="0" fontId="0" fillId="0" borderId="0" xfId="0" applyFill="1" applyBorder="1" applyAlignment="1"/>
    <xf numFmtId="0" fontId="0" fillId="0" borderId="0" xfId="0" applyFill="1" applyBorder="1" applyAlignment="1">
      <alignment wrapText="1"/>
    </xf>
    <xf numFmtId="0" fontId="5" fillId="0" borderId="0" xfId="5" applyFont="1" applyFill="1" applyBorder="1"/>
    <xf numFmtId="0" fontId="5" fillId="0" borderId="0" xfId="5" applyFont="1" applyFill="1"/>
    <xf numFmtId="0" fontId="8" fillId="0" borderId="0" xfId="5" applyFont="1" applyFill="1" applyBorder="1"/>
    <xf numFmtId="0" fontId="9" fillId="0" borderId="0" xfId="5" applyFont="1" applyFill="1" applyBorder="1" applyAlignment="1">
      <alignment vertical="center"/>
    </xf>
    <xf numFmtId="0" fontId="9" fillId="0" borderId="0" xfId="5" applyFont="1" applyFill="1" applyAlignment="1">
      <alignment vertical="center"/>
    </xf>
    <xf numFmtId="0" fontId="11" fillId="0" borderId="0" xfId="5" applyFont="1" applyFill="1" applyBorder="1" applyAlignment="1">
      <alignment vertical="center"/>
    </xf>
    <xf numFmtId="0" fontId="6" fillId="0" borderId="0" xfId="5" applyFont="1" applyFill="1" applyBorder="1"/>
    <xf numFmtId="0" fontId="9" fillId="0" borderId="0" xfId="5" applyFont="1" applyFill="1" applyBorder="1"/>
    <xf numFmtId="0" fontId="9" fillId="0" borderId="0" xfId="5" applyFont="1" applyFill="1"/>
    <xf numFmtId="0" fontId="12" fillId="0" borderId="0" xfId="5" applyFont="1" applyFill="1" applyBorder="1"/>
    <xf numFmtId="0" fontId="12" fillId="0" borderId="0" xfId="5" applyFont="1" applyFill="1"/>
    <xf numFmtId="0" fontId="6" fillId="0" borderId="0" xfId="5" applyFont="1" applyFill="1"/>
    <xf numFmtId="0" fontId="15" fillId="0" borderId="0" xfId="5" applyFont="1" applyFill="1"/>
    <xf numFmtId="0" fontId="5" fillId="0" borderId="0" xfId="5" applyFont="1" applyFill="1" applyBorder="1" applyAlignment="1"/>
    <xf numFmtId="0" fontId="15" fillId="0" borderId="0" xfId="5" applyFont="1" applyFill="1" applyBorder="1"/>
    <xf numFmtId="0" fontId="6" fillId="0" borderId="0" xfId="6" applyFont="1" applyFill="1" applyBorder="1"/>
    <xf numFmtId="0" fontId="6" fillId="0" borderId="0" xfId="6" applyFont="1"/>
    <xf numFmtId="0" fontId="6" fillId="0" borderId="0" xfId="6" applyFont="1" applyFill="1"/>
    <xf numFmtId="0" fontId="5" fillId="0" borderId="0" xfId="6" applyFont="1" applyFill="1" applyBorder="1" applyProtection="1">
      <protection locked="0"/>
    </xf>
    <xf numFmtId="0" fontId="36" fillId="0" borderId="0" xfId="6" applyFont="1" applyFill="1" applyBorder="1" applyAlignment="1" applyProtection="1">
      <alignment horizontal="left"/>
      <protection locked="0"/>
    </xf>
    <xf numFmtId="0" fontId="37" fillId="0" borderId="0" xfId="6" applyFont="1" applyFill="1" applyBorder="1"/>
    <xf numFmtId="0" fontId="26" fillId="0" borderId="0" xfId="6" applyFont="1" applyFill="1" applyBorder="1" applyAlignment="1" applyProtection="1">
      <alignment horizontal="left"/>
      <protection locked="0"/>
    </xf>
    <xf numFmtId="0" fontId="9" fillId="0" borderId="0" xfId="6" applyFont="1" applyFill="1" applyBorder="1"/>
    <xf numFmtId="0" fontId="38" fillId="0" borderId="0" xfId="6" applyFont="1" applyFill="1" applyBorder="1" applyAlignment="1"/>
    <xf numFmtId="0" fontId="40" fillId="0" borderId="0" xfId="6" applyFont="1" applyFill="1" applyBorder="1"/>
    <xf numFmtId="0" fontId="5" fillId="0" borderId="0" xfId="6" applyFont="1" applyFill="1" applyBorder="1" applyAlignment="1" applyProtection="1">
      <alignment horizontal="left"/>
      <protection locked="0"/>
    </xf>
    <xf numFmtId="0" fontId="41" fillId="0" borderId="0" xfId="6" applyFont="1" applyFill="1" applyBorder="1"/>
    <xf numFmtId="0" fontId="42" fillId="0" borderId="0" xfId="6" applyFont="1" applyFill="1" applyBorder="1" applyAlignment="1"/>
    <xf numFmtId="0" fontId="43" fillId="0" borderId="0" xfId="6" applyFont="1" applyFill="1" applyBorder="1" applyAlignment="1"/>
    <xf numFmtId="0" fontId="44" fillId="0" borderId="0" xfId="6" applyFont="1" applyFill="1" applyBorder="1"/>
    <xf numFmtId="0" fontId="17" fillId="31" borderId="0" xfId="4" applyFont="1" applyFill="1" applyBorder="1" applyProtection="1">
      <protection locked="0"/>
    </xf>
    <xf numFmtId="0" fontId="18" fillId="31" borderId="0" xfId="4" applyFont="1" applyFill="1" applyBorder="1" applyAlignment="1" applyProtection="1">
      <alignment horizontal="center" vertical="center"/>
      <protection locked="0"/>
    </xf>
    <xf numFmtId="0" fontId="17" fillId="31" borderId="0" xfId="4" applyFont="1" applyFill="1" applyBorder="1" applyAlignment="1" applyProtection="1">
      <alignment vertical="center"/>
      <protection locked="0"/>
    </xf>
    <xf numFmtId="0" fontId="6" fillId="31" borderId="0" xfId="6" applyFont="1" applyFill="1"/>
    <xf numFmtId="0" fontId="21" fillId="31" borderId="0" xfId="4" applyFont="1" applyFill="1" applyBorder="1" applyAlignment="1" applyProtection="1">
      <alignment horizontal="center" vertical="center"/>
      <protection locked="0"/>
    </xf>
    <xf numFmtId="0" fontId="22" fillId="31" borderId="0" xfId="4" applyFont="1" applyFill="1" applyBorder="1" applyAlignment="1" applyProtection="1">
      <alignment horizontal="left" vertical="center"/>
      <protection locked="0"/>
    </xf>
    <xf numFmtId="0" fontId="23" fillId="31" borderId="0" xfId="4" applyFont="1" applyFill="1" applyBorder="1" applyAlignment="1" applyProtection="1">
      <alignment vertical="center"/>
      <protection locked="0"/>
    </xf>
    <xf numFmtId="0" fontId="20" fillId="31" borderId="0" xfId="4" applyFont="1" applyFill="1" applyBorder="1" applyAlignment="1" applyProtection="1">
      <alignment vertical="center"/>
      <protection locked="0"/>
    </xf>
    <xf numFmtId="0" fontId="19" fillId="31" borderId="0" xfId="4" applyFont="1" applyFill="1" applyBorder="1" applyAlignment="1" applyProtection="1">
      <alignment horizontal="left"/>
      <protection locked="0"/>
    </xf>
    <xf numFmtId="0" fontId="17" fillId="31" borderId="0" xfId="4" applyFont="1" applyFill="1" applyBorder="1"/>
    <xf numFmtId="0" fontId="6" fillId="31" borderId="0" xfId="6" applyFont="1" applyFill="1" applyBorder="1" applyAlignment="1"/>
    <xf numFmtId="0" fontId="26" fillId="31" borderId="0" xfId="6" applyFont="1" applyFill="1" applyBorder="1" applyAlignment="1" applyProtection="1">
      <alignment horizontal="center" vertical="center"/>
    </xf>
    <xf numFmtId="49" fontId="27" fillId="31" borderId="65" xfId="6" applyNumberFormat="1" applyFont="1" applyFill="1" applyBorder="1" applyAlignment="1" applyProtection="1"/>
    <xf numFmtId="0" fontId="12" fillId="31" borderId="0" xfId="6" applyFont="1" applyFill="1" applyBorder="1" applyAlignment="1" applyProtection="1"/>
    <xf numFmtId="0" fontId="12" fillId="31" borderId="0" xfId="6" applyFont="1" applyFill="1" applyBorder="1" applyAlignment="1" applyProtection="1">
      <alignment vertical="center"/>
    </xf>
    <xf numFmtId="0" fontId="29" fillId="31" borderId="0" xfId="6" applyFont="1" applyFill="1" applyBorder="1" applyAlignment="1" applyProtection="1">
      <alignment vertical="center"/>
    </xf>
    <xf numFmtId="0" fontId="6" fillId="31" borderId="0" xfId="6" applyFont="1" applyFill="1" applyBorder="1" applyAlignment="1" applyProtection="1">
      <alignment vertical="center"/>
    </xf>
    <xf numFmtId="0" fontId="28" fillId="31" borderId="0" xfId="6" applyFont="1" applyFill="1" applyBorder="1" applyAlignment="1" applyProtection="1">
      <alignment horizontal="left"/>
      <protection locked="0"/>
    </xf>
    <xf numFmtId="0" fontId="30" fillId="31" borderId="0" xfId="6" applyFont="1" applyFill="1" applyBorder="1" applyAlignment="1" applyProtection="1">
      <alignment horizontal="left"/>
      <protection locked="0"/>
    </xf>
    <xf numFmtId="0" fontId="6" fillId="31" borderId="0" xfId="6" applyFont="1" applyFill="1" applyBorder="1" applyAlignment="1" applyProtection="1">
      <alignment horizontal="left"/>
      <protection locked="0"/>
    </xf>
    <xf numFmtId="0" fontId="6" fillId="31" borderId="0" xfId="6" applyFont="1" applyFill="1" applyBorder="1" applyAlignment="1" applyProtection="1"/>
    <xf numFmtId="0" fontId="9" fillId="31" borderId="65" xfId="6" applyFont="1" applyFill="1" applyBorder="1" applyAlignment="1" applyProtection="1">
      <alignment vertical="center"/>
    </xf>
    <xf numFmtId="0" fontId="9" fillId="31" borderId="0" xfId="6" applyFont="1" applyFill="1" applyBorder="1" applyAlignment="1" applyProtection="1">
      <alignment vertical="center"/>
    </xf>
    <xf numFmtId="49" fontId="31" fillId="31" borderId="65" xfId="6" applyNumberFormat="1" applyFont="1" applyFill="1" applyBorder="1" applyAlignment="1" applyProtection="1"/>
    <xf numFmtId="165" fontId="32" fillId="31" borderId="0" xfId="6" applyNumberFormat="1" applyFont="1" applyFill="1" applyBorder="1" applyAlignment="1" applyProtection="1">
      <alignment horizontal="left"/>
      <protection locked="0"/>
    </xf>
    <xf numFmtId="0" fontId="9" fillId="31" borderId="0" xfId="6" applyFont="1" applyFill="1" applyBorder="1" applyAlignment="1" applyProtection="1">
      <alignment horizontal="left"/>
      <protection locked="0"/>
    </xf>
    <xf numFmtId="0" fontId="9" fillId="31" borderId="0" xfId="6" applyFont="1" applyFill="1" applyBorder="1" applyAlignment="1" applyProtection="1"/>
    <xf numFmtId="49" fontId="34" fillId="31" borderId="69" xfId="8" applyNumberFormat="1" applyFont="1" applyFill="1" applyBorder="1" applyAlignment="1" applyProtection="1">
      <alignment horizontal="right" vertical="center"/>
    </xf>
    <xf numFmtId="0" fontId="6" fillId="31" borderId="69" xfId="6" applyFont="1" applyFill="1" applyBorder="1" applyProtection="1"/>
    <xf numFmtId="165" fontId="48" fillId="31" borderId="0" xfId="6" applyNumberFormat="1" applyFont="1" applyFill="1" applyBorder="1" applyAlignment="1" applyProtection="1">
      <alignment horizontal="left"/>
      <protection locked="0"/>
    </xf>
    <xf numFmtId="165" fontId="49" fillId="31" borderId="0" xfId="6" applyNumberFormat="1" applyFont="1" applyFill="1" applyBorder="1" applyAlignment="1" applyProtection="1">
      <alignment horizontal="left"/>
      <protection locked="0"/>
    </xf>
    <xf numFmtId="0" fontId="48" fillId="31" borderId="0" xfId="6" applyFont="1" applyFill="1" applyBorder="1" applyAlignment="1" applyProtection="1">
      <alignment horizontal="left"/>
      <protection locked="0"/>
    </xf>
    <xf numFmtId="0" fontId="48" fillId="31" borderId="0" xfId="6" applyFont="1" applyFill="1" applyBorder="1"/>
    <xf numFmtId="49" fontId="50" fillId="31" borderId="65" xfId="6" applyNumberFormat="1" applyFont="1" applyFill="1" applyBorder="1" applyAlignment="1" applyProtection="1"/>
    <xf numFmtId="0" fontId="52" fillId="31" borderId="0" xfId="4" applyFont="1" applyFill="1" applyBorder="1" applyAlignment="1" applyProtection="1">
      <alignment vertical="center"/>
      <protection locked="0"/>
    </xf>
    <xf numFmtId="0" fontId="53" fillId="31" borderId="0" xfId="4" applyFont="1" applyFill="1" applyBorder="1" applyAlignment="1" applyProtection="1">
      <alignment horizontal="center" vertical="center"/>
      <protection locked="0"/>
    </xf>
    <xf numFmtId="0" fontId="30" fillId="31" borderId="0" xfId="6" applyFont="1" applyFill="1"/>
    <xf numFmtId="0" fontId="22" fillId="31" borderId="0" xfId="4" applyFont="1" applyFill="1" applyBorder="1" applyAlignment="1" applyProtection="1">
      <alignment horizontal="center" vertical="center"/>
      <protection locked="0"/>
    </xf>
    <xf numFmtId="0" fontId="18" fillId="31" borderId="0" xfId="4" applyFont="1" applyFill="1" applyBorder="1" applyAlignment="1">
      <alignment horizontal="center" vertical="center"/>
    </xf>
    <xf numFmtId="0" fontId="36" fillId="31" borderId="0" xfId="6" applyFont="1" applyFill="1" applyBorder="1" applyAlignment="1" applyProtection="1">
      <alignment horizontal="center" vertical="center"/>
    </xf>
    <xf numFmtId="49" fontId="54" fillId="31" borderId="65" xfId="6" applyNumberFormat="1" applyFont="1" applyFill="1" applyBorder="1" applyAlignment="1" applyProtection="1"/>
    <xf numFmtId="0" fontId="33" fillId="31" borderId="0" xfId="6" applyFont="1" applyFill="1" applyBorder="1" applyAlignment="1" applyProtection="1">
      <alignment vertical="center"/>
    </xf>
    <xf numFmtId="49" fontId="55" fillId="31" borderId="65" xfId="6" applyNumberFormat="1" applyFont="1" applyFill="1" applyBorder="1" applyAlignment="1" applyProtection="1"/>
    <xf numFmtId="49" fontId="56" fillId="31" borderId="69" xfId="8" applyNumberFormat="1" applyFont="1" applyFill="1" applyBorder="1" applyAlignment="1" applyProtection="1">
      <alignment vertical="center"/>
    </xf>
    <xf numFmtId="0" fontId="57" fillId="31" borderId="0" xfId="6" applyFont="1" applyFill="1" applyBorder="1" applyAlignment="1" applyProtection="1">
      <alignment horizontal="left" vertical="center"/>
      <protection locked="0"/>
    </xf>
    <xf numFmtId="14" fontId="50" fillId="8" borderId="68" xfId="6" applyNumberFormat="1" applyFont="1" applyFill="1" applyBorder="1" applyAlignment="1" applyProtection="1">
      <alignment horizontal="center" vertical="center"/>
      <protection locked="0"/>
    </xf>
    <xf numFmtId="165" fontId="57" fillId="31" borderId="0" xfId="6" applyNumberFormat="1" applyFont="1" applyFill="1" applyBorder="1" applyAlignment="1" applyProtection="1">
      <alignment horizontal="left" vertical="center"/>
      <protection locked="0"/>
    </xf>
    <xf numFmtId="165" fontId="50" fillId="31" borderId="0" xfId="6" applyNumberFormat="1" applyFont="1" applyFill="1" applyBorder="1" applyAlignment="1" applyProtection="1">
      <alignment horizontal="left"/>
      <protection locked="0"/>
    </xf>
    <xf numFmtId="0" fontId="58" fillId="31" borderId="0" xfId="6" applyFont="1" applyFill="1" applyBorder="1" applyAlignment="1" applyProtection="1">
      <alignment horizontal="left"/>
      <protection locked="0"/>
    </xf>
    <xf numFmtId="0" fontId="50" fillId="31" borderId="0" xfId="6" applyFont="1" applyFill="1" applyBorder="1"/>
    <xf numFmtId="0" fontId="39" fillId="31" borderId="69" xfId="6" applyFont="1" applyFill="1" applyBorder="1" applyProtection="1"/>
    <xf numFmtId="0" fontId="8" fillId="8" borderId="0" xfId="5" applyFont="1" applyFill="1" applyBorder="1"/>
    <xf numFmtId="0" fontId="15" fillId="0" borderId="70" xfId="5" applyFont="1" applyFill="1" applyBorder="1"/>
    <xf numFmtId="0" fontId="9" fillId="31" borderId="0" xfId="6" applyFont="1" applyFill="1" applyBorder="1" applyAlignment="1" applyProtection="1">
      <alignment horizontal="center"/>
    </xf>
    <xf numFmtId="0" fontId="9" fillId="31" borderId="74" xfId="6" applyFont="1" applyFill="1" applyBorder="1" applyAlignment="1" applyProtection="1">
      <alignment horizontal="center"/>
    </xf>
    <xf numFmtId="0" fontId="9" fillId="31" borderId="73" xfId="6" applyFont="1" applyFill="1" applyBorder="1" applyAlignment="1" applyProtection="1">
      <alignment horizontal="center"/>
    </xf>
    <xf numFmtId="0" fontId="9" fillId="31" borderId="72" xfId="6" applyFont="1" applyFill="1" applyBorder="1" applyAlignment="1" applyProtection="1">
      <alignment horizontal="center"/>
    </xf>
    <xf numFmtId="0" fontId="9" fillId="31" borderId="64" xfId="6" applyFont="1" applyFill="1" applyBorder="1" applyAlignment="1" applyProtection="1">
      <alignment horizontal="center"/>
    </xf>
    <xf numFmtId="0" fontId="15" fillId="8" borderId="0" xfId="0" applyFont="1" applyFill="1" applyProtection="1">
      <protection locked="0"/>
    </xf>
    <xf numFmtId="0" fontId="15" fillId="8" borderId="0" xfId="0" applyFont="1" applyFill="1" applyAlignment="1" applyProtection="1">
      <alignment horizontal="center" wrapText="1"/>
      <protection locked="0"/>
    </xf>
    <xf numFmtId="0" fontId="15" fillId="8" borderId="0" xfId="0" applyFont="1" applyFill="1" applyAlignment="1" applyProtection="1">
      <alignment wrapText="1"/>
      <protection locked="0"/>
    </xf>
    <xf numFmtId="0" fontId="15" fillId="0" borderId="0" xfId="0" applyFont="1" applyFill="1" applyAlignment="1" applyProtection="1">
      <alignment horizontal="center" wrapText="1"/>
      <protection locked="0"/>
    </xf>
    <xf numFmtId="0" fontId="15" fillId="0" borderId="0" xfId="0" applyFont="1" applyFill="1" applyAlignment="1" applyProtection="1">
      <alignment wrapText="1"/>
      <protection locked="0"/>
    </xf>
    <xf numFmtId="0" fontId="15" fillId="0" borderId="0" xfId="0" applyFont="1" applyFill="1" applyProtection="1">
      <protection locked="0"/>
    </xf>
    <xf numFmtId="0" fontId="68" fillId="8" borderId="0" xfId="0" applyFont="1" applyFill="1" applyProtection="1">
      <protection locked="0"/>
    </xf>
    <xf numFmtId="0" fontId="30" fillId="8" borderId="0" xfId="0" applyFont="1" applyFill="1" applyProtection="1">
      <protection locked="0"/>
    </xf>
    <xf numFmtId="0" fontId="12" fillId="8" borderId="0" xfId="0" applyFont="1" applyFill="1" applyAlignment="1" applyProtection="1">
      <alignment vertical="center" wrapText="1"/>
      <protection locked="0"/>
    </xf>
    <xf numFmtId="0" fontId="12" fillId="8" borderId="0" xfId="0" applyFont="1" applyFill="1" applyAlignment="1" applyProtection="1">
      <alignment vertical="center"/>
      <protection locked="0"/>
    </xf>
    <xf numFmtId="0" fontId="39" fillId="17" borderId="83" xfId="0" applyFont="1" applyFill="1" applyBorder="1" applyAlignment="1" applyProtection="1">
      <alignment horizontal="center" vertical="center" wrapText="1"/>
      <protection hidden="1"/>
    </xf>
    <xf numFmtId="0" fontId="9" fillId="17" borderId="83" xfId="0" applyFont="1" applyFill="1" applyBorder="1" applyAlignment="1" applyProtection="1">
      <alignment horizontal="center" vertical="center" wrapText="1"/>
      <protection hidden="1"/>
    </xf>
    <xf numFmtId="164" fontId="9" fillId="17" borderId="83" xfId="0" applyNumberFormat="1" applyFont="1" applyFill="1" applyBorder="1" applyAlignment="1" applyProtection="1">
      <alignment horizontal="center" vertical="center" wrapText="1"/>
      <protection hidden="1"/>
    </xf>
    <xf numFmtId="0" fontId="14" fillId="19" borderId="83" xfId="0" applyFont="1" applyFill="1" applyBorder="1" applyAlignment="1" applyProtection="1">
      <alignment horizontal="center" vertical="center" wrapText="1"/>
      <protection hidden="1"/>
    </xf>
    <xf numFmtId="0" fontId="63" fillId="19" borderId="83" xfId="0" applyFont="1" applyFill="1" applyBorder="1" applyAlignment="1" applyProtection="1">
      <alignment horizontal="center" vertical="center" wrapText="1"/>
      <protection hidden="1"/>
    </xf>
    <xf numFmtId="164" fontId="63" fillId="19" borderId="83" xfId="0" applyNumberFormat="1" applyFont="1" applyFill="1" applyBorder="1" applyAlignment="1" applyProtection="1">
      <alignment horizontal="center" vertical="center" wrapText="1"/>
      <protection hidden="1"/>
    </xf>
    <xf numFmtId="0" fontId="30" fillId="8" borderId="0" xfId="0" applyFont="1" applyFill="1" applyAlignment="1" applyProtection="1">
      <alignment horizontal="center"/>
      <protection locked="0"/>
    </xf>
    <xf numFmtId="0" fontId="61" fillId="8" borderId="0" xfId="0" applyFont="1" applyFill="1" applyProtection="1">
      <protection locked="0"/>
    </xf>
    <xf numFmtId="0" fontId="61" fillId="8" borderId="0" xfId="0" applyFont="1" applyFill="1" applyAlignment="1" applyProtection="1">
      <alignment horizontal="center"/>
      <protection locked="0"/>
    </xf>
    <xf numFmtId="0" fontId="30" fillId="8" borderId="0" xfId="0" applyFont="1" applyFill="1" applyAlignment="1" applyProtection="1">
      <alignment vertical="center"/>
      <protection locked="0"/>
    </xf>
    <xf numFmtId="0" fontId="64" fillId="8" borderId="0" xfId="0" applyFont="1" applyFill="1" applyAlignment="1" applyProtection="1">
      <alignment vertical="center"/>
      <protection locked="0"/>
    </xf>
    <xf numFmtId="0" fontId="15" fillId="0" borderId="0" xfId="0" applyFont="1"/>
    <xf numFmtId="0" fontId="30" fillId="22" borderId="23" xfId="0" applyFont="1" applyFill="1" applyBorder="1" applyAlignment="1">
      <alignment horizontal="center" vertical="center"/>
    </xf>
    <xf numFmtId="0" fontId="61" fillId="20" borderId="5" xfId="0" applyFont="1" applyFill="1" applyBorder="1" applyAlignment="1">
      <alignment horizontal="center" vertical="center" wrapText="1"/>
    </xf>
    <xf numFmtId="0" fontId="61" fillId="7" borderId="5" xfId="0" applyFont="1" applyFill="1" applyBorder="1" applyAlignment="1">
      <alignment horizontal="center" vertical="center" wrapText="1"/>
    </xf>
    <xf numFmtId="0" fontId="30" fillId="22" borderId="5" xfId="0" applyFont="1" applyFill="1" applyBorder="1" applyAlignment="1">
      <alignment horizontal="center" vertical="center" wrapText="1"/>
    </xf>
    <xf numFmtId="0" fontId="15" fillId="8" borderId="24" xfId="0" applyFont="1" applyFill="1" applyBorder="1" applyAlignment="1">
      <alignment horizontal="justify" vertical="center" wrapText="1"/>
    </xf>
    <xf numFmtId="0" fontId="30" fillId="23" borderId="14" xfId="0" applyFont="1" applyFill="1" applyBorder="1" applyAlignment="1">
      <alignment horizontal="center" vertical="center"/>
    </xf>
    <xf numFmtId="0" fontId="61" fillId="20" borderId="4" xfId="0" applyFont="1" applyFill="1" applyBorder="1" applyAlignment="1">
      <alignment horizontal="center" vertical="center" wrapText="1"/>
    </xf>
    <xf numFmtId="0" fontId="61" fillId="7" borderId="4" xfId="0" applyFont="1" applyFill="1" applyBorder="1" applyAlignment="1">
      <alignment horizontal="center" vertical="center" wrapText="1"/>
    </xf>
    <xf numFmtId="0" fontId="30" fillId="23" borderId="4" xfId="0" applyFont="1" applyFill="1" applyBorder="1" applyAlignment="1">
      <alignment horizontal="center" vertical="center" wrapText="1"/>
    </xf>
    <xf numFmtId="0" fontId="15" fillId="8" borderId="15" xfId="0" applyFont="1" applyFill="1" applyBorder="1" applyAlignment="1">
      <alignment horizontal="justify" vertical="center" wrapText="1"/>
    </xf>
    <xf numFmtId="0" fontId="30" fillId="18" borderId="14" xfId="0" applyFont="1" applyFill="1" applyBorder="1" applyAlignment="1">
      <alignment horizontal="center" vertical="center"/>
    </xf>
    <xf numFmtId="0" fontId="30" fillId="18" borderId="4" xfId="0" applyFont="1" applyFill="1" applyBorder="1" applyAlignment="1">
      <alignment horizontal="center" vertical="center" wrapText="1"/>
    </xf>
    <xf numFmtId="0" fontId="30" fillId="25" borderId="14" xfId="0" applyFont="1" applyFill="1" applyBorder="1" applyAlignment="1">
      <alignment horizontal="center" vertical="center"/>
    </xf>
    <xf numFmtId="0" fontId="30" fillId="25" borderId="4" xfId="0" applyFont="1" applyFill="1" applyBorder="1" applyAlignment="1">
      <alignment horizontal="center" vertical="center" wrapText="1"/>
    </xf>
    <xf numFmtId="0" fontId="61" fillId="21" borderId="4" xfId="0" applyFont="1" applyFill="1" applyBorder="1" applyAlignment="1">
      <alignment horizontal="center" vertical="center" wrapText="1"/>
    </xf>
    <xf numFmtId="0" fontId="30" fillId="22" borderId="4" xfId="0" applyFont="1" applyFill="1" applyBorder="1" applyAlignment="1">
      <alignment horizontal="center" vertical="center" wrapText="1"/>
    </xf>
    <xf numFmtId="0" fontId="30" fillId="24" borderId="14" xfId="0" applyFont="1" applyFill="1" applyBorder="1" applyAlignment="1">
      <alignment horizontal="center" vertical="center"/>
    </xf>
    <xf numFmtId="0" fontId="30" fillId="17" borderId="4"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30" fillId="25" borderId="16" xfId="0" applyFont="1" applyFill="1" applyBorder="1" applyAlignment="1">
      <alignment horizontal="center" vertical="center"/>
    </xf>
    <xf numFmtId="0" fontId="30" fillId="4" borderId="17" xfId="0" applyFont="1" applyFill="1" applyBorder="1" applyAlignment="1">
      <alignment horizontal="center" vertical="center" wrapText="1"/>
    </xf>
    <xf numFmtId="0" fontId="61" fillId="7" borderId="17" xfId="0" applyFont="1" applyFill="1" applyBorder="1" applyAlignment="1">
      <alignment horizontal="center" vertical="center" wrapText="1"/>
    </xf>
    <xf numFmtId="0" fontId="30" fillId="25" borderId="17" xfId="0" applyFont="1" applyFill="1" applyBorder="1" applyAlignment="1">
      <alignment horizontal="center" vertical="center" wrapText="1"/>
    </xf>
    <xf numFmtId="0" fontId="15" fillId="8" borderId="18" xfId="0" applyFont="1" applyFill="1" applyBorder="1" applyAlignment="1">
      <alignment horizontal="justify" vertical="center" wrapText="1"/>
    </xf>
    <xf numFmtId="0" fontId="52" fillId="29" borderId="50" xfId="0" applyFont="1" applyFill="1" applyBorder="1" applyAlignment="1">
      <alignment horizontal="center" vertical="center"/>
    </xf>
    <xf numFmtId="0" fontId="52" fillId="29" borderId="49" xfId="0" applyFont="1" applyFill="1" applyBorder="1" applyAlignment="1">
      <alignment horizontal="center" vertical="center" wrapText="1"/>
    </xf>
    <xf numFmtId="0" fontId="52" fillId="29" borderId="49" xfId="0" applyFont="1" applyFill="1" applyBorder="1" applyAlignment="1">
      <alignment horizontal="center" vertical="center"/>
    </xf>
    <xf numFmtId="0" fontId="52" fillId="29" borderId="48" xfId="0" applyFont="1" applyFill="1" applyBorder="1" applyAlignment="1">
      <alignment horizontal="center" vertical="center"/>
    </xf>
    <xf numFmtId="0" fontId="72" fillId="15" borderId="0" xfId="0" applyFont="1" applyFill="1" applyBorder="1" applyAlignment="1" applyProtection="1">
      <alignment horizontal="center" vertical="center"/>
      <protection locked="0"/>
    </xf>
    <xf numFmtId="0" fontId="78" fillId="8" borderId="0" xfId="0" applyFont="1" applyFill="1" applyProtection="1">
      <protection locked="0"/>
    </xf>
    <xf numFmtId="0" fontId="78" fillId="8" borderId="0" xfId="0" applyFont="1" applyFill="1" applyAlignment="1" applyProtection="1">
      <alignment horizontal="center" wrapText="1"/>
      <protection locked="0"/>
    </xf>
    <xf numFmtId="0" fontId="72" fillId="0" borderId="0" xfId="0" applyFont="1" applyFill="1" applyBorder="1" applyProtection="1">
      <protection locked="0"/>
    </xf>
    <xf numFmtId="0" fontId="78" fillId="0" borderId="0" xfId="0" applyFont="1" applyFill="1" applyProtection="1">
      <protection locked="0"/>
    </xf>
    <xf numFmtId="0" fontId="78" fillId="0" borderId="0" xfId="0" applyFont="1" applyFill="1" applyAlignment="1" applyProtection="1">
      <alignment horizontal="center" wrapText="1"/>
      <protection locked="0"/>
    </xf>
    <xf numFmtId="0" fontId="79" fillId="8" borderId="0" xfId="0" applyFont="1" applyFill="1" applyBorder="1" applyAlignment="1" applyProtection="1">
      <alignment horizontal="center" wrapText="1"/>
      <protection locked="0"/>
    </xf>
    <xf numFmtId="0" fontId="78" fillId="8" borderId="0" xfId="0" applyFont="1" applyFill="1" applyAlignment="1" applyProtection="1">
      <alignment wrapText="1"/>
      <protection locked="0"/>
    </xf>
    <xf numFmtId="0" fontId="54" fillId="8" borderId="0" xfId="0" applyFont="1" applyFill="1" applyAlignment="1" applyProtection="1">
      <alignment horizontal="center" wrapText="1"/>
      <protection locked="0"/>
    </xf>
    <xf numFmtId="0" fontId="72" fillId="8" borderId="0" xfId="0" applyFont="1" applyFill="1" applyBorder="1" applyProtection="1">
      <protection locked="0"/>
    </xf>
    <xf numFmtId="1" fontId="78" fillId="8" borderId="0" xfId="0" applyNumberFormat="1" applyFont="1" applyFill="1" applyProtection="1">
      <protection locked="0"/>
    </xf>
    <xf numFmtId="0" fontId="79" fillId="0" borderId="0" xfId="0" applyFont="1" applyFill="1" applyBorder="1" applyProtection="1">
      <protection locked="0"/>
    </xf>
    <xf numFmtId="0" fontId="79" fillId="8" borderId="0" xfId="0" applyFont="1" applyFill="1" applyProtection="1">
      <protection locked="0"/>
    </xf>
    <xf numFmtId="0" fontId="14" fillId="0" borderId="0" xfId="0" applyFont="1" applyFill="1" applyBorder="1" applyAlignment="1" applyProtection="1">
      <alignment vertical="center"/>
      <protection locked="0"/>
    </xf>
    <xf numFmtId="0" fontId="76" fillId="8" borderId="0" xfId="0" applyFont="1" applyFill="1" applyBorder="1" applyAlignment="1" applyProtection="1">
      <alignment vertical="center"/>
      <protection locked="0"/>
    </xf>
    <xf numFmtId="0" fontId="14" fillId="0" borderId="0" xfId="0" applyFont="1" applyFill="1" applyBorder="1" applyAlignment="1" applyProtection="1">
      <alignment vertical="center" wrapText="1"/>
      <protection locked="0"/>
    </xf>
    <xf numFmtId="0" fontId="39" fillId="8" borderId="0" xfId="0" applyFont="1" applyFill="1" applyBorder="1" applyAlignment="1" applyProtection="1">
      <alignment vertical="center" wrapText="1"/>
      <protection locked="0"/>
    </xf>
    <xf numFmtId="0" fontId="64" fillId="8" borderId="0" xfId="0" applyFont="1" applyFill="1" applyAlignment="1" applyProtection="1">
      <alignment vertical="center" wrapText="1"/>
      <protection locked="0"/>
    </xf>
    <xf numFmtId="0" fontId="15" fillId="12" borderId="53" xfId="0" applyFont="1" applyFill="1" applyBorder="1" applyProtection="1">
      <protection hidden="1"/>
    </xf>
    <xf numFmtId="0" fontId="15" fillId="12" borderId="46" xfId="0" applyFont="1" applyFill="1" applyBorder="1" applyProtection="1">
      <protection hidden="1"/>
    </xf>
    <xf numFmtId="0" fontId="15" fillId="12" borderId="57" xfId="0" applyFont="1" applyFill="1" applyBorder="1" applyProtection="1">
      <protection hidden="1"/>
    </xf>
    <xf numFmtId="0" fontId="15" fillId="12" borderId="51" xfId="0" applyFont="1" applyFill="1" applyBorder="1" applyProtection="1">
      <protection hidden="1"/>
    </xf>
    <xf numFmtId="0" fontId="15" fillId="12" borderId="0" xfId="0" applyFont="1" applyFill="1" applyBorder="1" applyProtection="1">
      <protection hidden="1"/>
    </xf>
    <xf numFmtId="0" fontId="15" fillId="12" borderId="52" xfId="0" applyFont="1" applyFill="1" applyBorder="1" applyProtection="1">
      <protection hidden="1"/>
    </xf>
    <xf numFmtId="0" fontId="5" fillId="12" borderId="34" xfId="0" applyFont="1" applyFill="1" applyBorder="1" applyAlignment="1" applyProtection="1">
      <alignment horizontal="right" vertical="top"/>
      <protection hidden="1"/>
    </xf>
    <xf numFmtId="0" fontId="15" fillId="12" borderId="10" xfId="0" applyFont="1" applyFill="1" applyBorder="1" applyProtection="1">
      <protection hidden="1"/>
    </xf>
    <xf numFmtId="0" fontId="15" fillId="12" borderId="35" xfId="0" applyFont="1" applyFill="1" applyBorder="1" applyProtection="1">
      <protection hidden="1"/>
    </xf>
    <xf numFmtId="0" fontId="15" fillId="12" borderId="36" xfId="0" applyFont="1" applyFill="1" applyBorder="1" applyProtection="1">
      <protection hidden="1"/>
    </xf>
    <xf numFmtId="0" fontId="15" fillId="12" borderId="37" xfId="0" applyFont="1" applyFill="1" applyBorder="1" applyProtection="1">
      <protection hidden="1"/>
    </xf>
    <xf numFmtId="0" fontId="15" fillId="12" borderId="38" xfId="0" applyFont="1" applyFill="1" applyBorder="1" applyProtection="1">
      <protection hidden="1"/>
    </xf>
    <xf numFmtId="0" fontId="15" fillId="12" borderId="39" xfId="0" applyFont="1" applyFill="1" applyBorder="1" applyProtection="1">
      <protection hidden="1"/>
    </xf>
    <xf numFmtId="0" fontId="15" fillId="12" borderId="40" xfId="0" applyFont="1" applyFill="1" applyBorder="1" applyProtection="1">
      <protection hidden="1"/>
    </xf>
    <xf numFmtId="0" fontId="5" fillId="12" borderId="41" xfId="0" applyFont="1" applyFill="1" applyBorder="1" applyAlignment="1" applyProtection="1">
      <alignment horizontal="right" vertical="top"/>
      <protection hidden="1"/>
    </xf>
    <xf numFmtId="0" fontId="15" fillId="12" borderId="42" xfId="0" applyFont="1" applyFill="1" applyBorder="1" applyProtection="1">
      <protection hidden="1"/>
    </xf>
    <xf numFmtId="0" fontId="77" fillId="12" borderId="43" xfId="0" applyFont="1" applyFill="1" applyBorder="1" applyAlignment="1" applyProtection="1">
      <alignment horizontal="left" vertical="top"/>
      <protection hidden="1"/>
    </xf>
    <xf numFmtId="0" fontId="77" fillId="12" borderId="0" xfId="0" applyFont="1" applyFill="1" applyBorder="1" applyAlignment="1" applyProtection="1">
      <alignment horizontal="left" vertical="top"/>
      <protection hidden="1"/>
    </xf>
    <xf numFmtId="0" fontId="77" fillId="12" borderId="44" xfId="0" applyFont="1" applyFill="1" applyBorder="1" applyAlignment="1" applyProtection="1">
      <alignment horizontal="right" vertical="top"/>
      <protection hidden="1"/>
    </xf>
    <xf numFmtId="0" fontId="5" fillId="12" borderId="45" xfId="0" applyFont="1" applyFill="1" applyBorder="1" applyAlignment="1" applyProtection="1">
      <alignment horizontal="right" vertical="top"/>
      <protection hidden="1"/>
    </xf>
    <xf numFmtId="0" fontId="5" fillId="12" borderId="43" xfId="0" applyFont="1" applyFill="1" applyBorder="1" applyAlignment="1" applyProtection="1">
      <alignment horizontal="right" vertical="top"/>
      <protection hidden="1"/>
    </xf>
    <xf numFmtId="0" fontId="5" fillId="12" borderId="0" xfId="0" applyFont="1" applyFill="1" applyBorder="1" applyAlignment="1" applyProtection="1">
      <alignment horizontal="right" vertical="top"/>
      <protection hidden="1"/>
    </xf>
    <xf numFmtId="0" fontId="77" fillId="12" borderId="34" xfId="0" applyFont="1" applyFill="1" applyBorder="1" applyAlignment="1" applyProtection="1">
      <alignment horizontal="right" vertical="top"/>
      <protection hidden="1"/>
    </xf>
    <xf numFmtId="0" fontId="15" fillId="12" borderId="8" xfId="0" applyFont="1" applyFill="1" applyBorder="1" applyProtection="1">
      <protection hidden="1"/>
    </xf>
    <xf numFmtId="0" fontId="15" fillId="12" borderId="54" xfId="0" applyFont="1" applyFill="1" applyBorder="1" applyProtection="1">
      <protection hidden="1"/>
    </xf>
    <xf numFmtId="0" fontId="15" fillId="12" borderId="47" xfId="0" applyFont="1" applyFill="1" applyBorder="1" applyProtection="1">
      <protection hidden="1"/>
    </xf>
    <xf numFmtId="0" fontId="15" fillId="12" borderId="55" xfId="0" applyFont="1" applyFill="1" applyBorder="1" applyProtection="1">
      <protection hidden="1"/>
    </xf>
    <xf numFmtId="0" fontId="15" fillId="8" borderId="0" xfId="0" applyFont="1" applyFill="1" applyProtection="1">
      <protection hidden="1"/>
    </xf>
    <xf numFmtId="0" fontId="30" fillId="8" borderId="0" xfId="0" applyFont="1" applyFill="1" applyAlignment="1" applyProtection="1">
      <alignment vertical="center" wrapText="1"/>
      <protection hidden="1"/>
    </xf>
    <xf numFmtId="0" fontId="30" fillId="8" borderId="0" xfId="0" applyFont="1" applyFill="1" applyAlignment="1" applyProtection="1">
      <alignment vertical="center"/>
      <protection hidden="1"/>
    </xf>
    <xf numFmtId="0" fontId="36" fillId="8" borderId="0" xfId="0" applyFont="1" applyFill="1" applyProtection="1">
      <protection hidden="1"/>
    </xf>
    <xf numFmtId="0" fontId="66" fillId="11" borderId="22" xfId="0" applyFont="1" applyFill="1" applyBorder="1" applyAlignment="1" applyProtection="1">
      <alignment horizontal="center" vertical="center" wrapText="1"/>
      <protection hidden="1"/>
    </xf>
    <xf numFmtId="0" fontId="67" fillId="3" borderId="22" xfId="0" applyFont="1" applyFill="1" applyBorder="1" applyAlignment="1" applyProtection="1">
      <alignment horizontal="center" vertical="center" wrapText="1"/>
      <protection hidden="1"/>
    </xf>
    <xf numFmtId="0" fontId="66" fillId="6" borderId="22" xfId="0" applyFont="1" applyFill="1" applyBorder="1" applyAlignment="1" applyProtection="1">
      <alignment horizontal="center" vertical="center"/>
      <protection hidden="1"/>
    </xf>
    <xf numFmtId="0" fontId="66" fillId="13" borderId="22" xfId="0" applyFont="1" applyFill="1" applyBorder="1" applyAlignment="1" applyProtection="1">
      <alignment horizontal="center" vertical="center"/>
      <protection hidden="1"/>
    </xf>
    <xf numFmtId="0" fontId="66" fillId="15" borderId="22" xfId="0" applyFont="1" applyFill="1" applyBorder="1" applyAlignment="1" applyProtection="1">
      <alignment horizontal="center"/>
      <protection locked="0"/>
    </xf>
    <xf numFmtId="0" fontId="68" fillId="8" borderId="22" xfId="0" applyFont="1" applyFill="1" applyBorder="1" applyProtection="1">
      <protection locked="0"/>
    </xf>
    <xf numFmtId="0" fontId="14" fillId="0" borderId="22" xfId="0" applyFont="1" applyFill="1" applyBorder="1" applyAlignment="1" applyProtection="1">
      <alignment horizontal="center" vertical="center"/>
      <protection locked="0"/>
    </xf>
    <xf numFmtId="0" fontId="66" fillId="0" borderId="22" xfId="0" applyFont="1" applyFill="1" applyBorder="1" applyProtection="1">
      <protection hidden="1"/>
    </xf>
    <xf numFmtId="0" fontId="6" fillId="13" borderId="22" xfId="0" applyFont="1" applyFill="1" applyBorder="1" applyAlignment="1" applyProtection="1">
      <alignment horizontal="center" vertical="center" wrapText="1"/>
      <protection hidden="1"/>
    </xf>
    <xf numFmtId="0" fontId="69" fillId="13" borderId="22" xfId="0" applyFont="1" applyFill="1" applyBorder="1" applyAlignment="1" applyProtection="1">
      <alignment horizontal="center" vertical="center" wrapText="1"/>
      <protection hidden="1"/>
    </xf>
    <xf numFmtId="0" fontId="70" fillId="13" borderId="22" xfId="0" applyFont="1" applyFill="1" applyBorder="1" applyAlignment="1" applyProtection="1">
      <alignment horizontal="center" vertical="center"/>
      <protection hidden="1"/>
    </xf>
    <xf numFmtId="0" fontId="6" fillId="8" borderId="22" xfId="0" applyFont="1" applyFill="1" applyBorder="1" applyProtection="1">
      <protection locked="0"/>
    </xf>
    <xf numFmtId="0" fontId="71" fillId="13" borderId="22" xfId="0" applyFont="1" applyFill="1" applyBorder="1" applyAlignment="1" applyProtection="1">
      <alignment horizontal="center" vertical="center"/>
      <protection hidden="1"/>
    </xf>
    <xf numFmtId="0" fontId="68" fillId="16" borderId="22" xfId="0" applyFont="1" applyFill="1" applyBorder="1" applyProtection="1">
      <protection hidden="1"/>
    </xf>
    <xf numFmtId="0" fontId="72" fillId="3" borderId="22" xfId="0" applyFont="1" applyFill="1" applyBorder="1" applyAlignment="1" applyProtection="1">
      <alignment horizontal="center" vertical="center" wrapText="1"/>
      <protection hidden="1"/>
    </xf>
    <xf numFmtId="0" fontId="72" fillId="6" borderId="22" xfId="0" applyFont="1" applyFill="1" applyBorder="1" applyAlignment="1" applyProtection="1">
      <alignment horizontal="center" vertical="center"/>
      <protection hidden="1"/>
    </xf>
    <xf numFmtId="0" fontId="15" fillId="0" borderId="0" xfId="0" applyFont="1" applyBorder="1" applyAlignment="1">
      <alignment horizontal="center"/>
    </xf>
    <xf numFmtId="0" fontId="70" fillId="0" borderId="0" xfId="0" applyFont="1" applyBorder="1" applyAlignment="1">
      <alignment horizontal="center" vertical="center" wrapText="1"/>
    </xf>
    <xf numFmtId="14" fontId="81" fillId="0" borderId="0" xfId="0" applyNumberFormat="1" applyFont="1" applyBorder="1" applyAlignment="1">
      <alignment horizontal="center" vertical="center" wrapText="1"/>
    </xf>
    <xf numFmtId="0" fontId="12" fillId="0" borderId="0" xfId="6" applyFont="1" applyBorder="1"/>
    <xf numFmtId="0" fontId="12" fillId="8" borderId="0" xfId="6" applyFont="1" applyFill="1"/>
    <xf numFmtId="0" fontId="12" fillId="0" borderId="0" xfId="6" applyFont="1" applyFill="1"/>
    <xf numFmtId="0" fontId="12" fillId="0" borderId="0" xfId="6" applyFont="1"/>
    <xf numFmtId="0" fontId="86" fillId="8" borderId="0" xfId="4" applyFont="1" applyFill="1" applyBorder="1" applyAlignment="1"/>
    <xf numFmtId="0" fontId="83" fillId="0" borderId="0" xfId="5" applyFont="1" applyFill="1" applyBorder="1"/>
    <xf numFmtId="0" fontId="12" fillId="0" borderId="0" xfId="6" applyFont="1" applyFill="1" applyBorder="1"/>
    <xf numFmtId="0" fontId="86" fillId="33" borderId="0" xfId="4" applyFont="1" applyFill="1" applyBorder="1" applyAlignment="1"/>
    <xf numFmtId="0" fontId="83" fillId="0" borderId="0" xfId="5" applyFont="1" applyFill="1" applyBorder="1" applyAlignment="1"/>
    <xf numFmtId="0" fontId="12" fillId="0" borderId="0" xfId="6" applyFont="1" applyFill="1" applyBorder="1" applyAlignment="1"/>
    <xf numFmtId="0" fontId="12" fillId="0" borderId="0" xfId="6" applyFont="1" applyFill="1" applyAlignment="1"/>
    <xf numFmtId="0" fontId="83" fillId="8" borderId="0" xfId="5" applyFont="1" applyFill="1"/>
    <xf numFmtId="0" fontId="83" fillId="0" borderId="0" xfId="5" applyFont="1" applyFill="1"/>
    <xf numFmtId="0" fontId="83" fillId="8" borderId="0" xfId="5" applyFont="1" applyFill="1" applyBorder="1"/>
    <xf numFmtId="0" fontId="12" fillId="8" borderId="0" xfId="6" applyFont="1" applyFill="1" applyBorder="1"/>
    <xf numFmtId="0" fontId="83" fillId="0" borderId="0" xfId="0" applyFont="1" applyBorder="1" applyAlignment="1">
      <alignment vertical="center" wrapText="1"/>
    </xf>
    <xf numFmtId="0" fontId="84" fillId="0" borderId="0" xfId="0" applyFont="1" applyBorder="1" applyAlignment="1">
      <alignment vertical="center" wrapText="1"/>
    </xf>
    <xf numFmtId="14" fontId="84" fillId="0" borderId="0" xfId="0" applyNumberFormat="1" applyFont="1" applyBorder="1" applyAlignment="1">
      <alignment vertical="center" wrapText="1"/>
    </xf>
    <xf numFmtId="0" fontId="83" fillId="0" borderId="84" xfId="0" applyFont="1" applyBorder="1" applyAlignment="1">
      <alignment horizontal="center" vertical="center" wrapText="1"/>
    </xf>
    <xf numFmtId="0" fontId="84" fillId="0" borderId="84" xfId="0" applyFont="1" applyBorder="1" applyAlignment="1">
      <alignment horizontal="center" vertical="center" wrapText="1"/>
    </xf>
    <xf numFmtId="14" fontId="84" fillId="0" borderId="84" xfId="0" applyNumberFormat="1" applyFont="1" applyBorder="1" applyAlignment="1">
      <alignment horizontal="center" vertical="center" wrapText="1"/>
    </xf>
    <xf numFmtId="0" fontId="85" fillId="0" borderId="0" xfId="0" applyFont="1" applyBorder="1" applyAlignment="1">
      <alignment horizontal="center" vertical="center" wrapText="1"/>
    </xf>
    <xf numFmtId="14" fontId="84" fillId="0" borderId="0" xfId="0" applyNumberFormat="1" applyFont="1" applyBorder="1" applyAlignment="1">
      <alignment horizontal="center" vertical="center" wrapText="1"/>
    </xf>
    <xf numFmtId="0" fontId="93" fillId="0" borderId="84" xfId="6" applyFont="1" applyBorder="1"/>
    <xf numFmtId="0" fontId="96" fillId="8" borderId="84" xfId="0" applyFont="1" applyFill="1" applyBorder="1" applyProtection="1">
      <protection locked="0"/>
    </xf>
    <xf numFmtId="0" fontId="96" fillId="8" borderId="84" xfId="0" applyFont="1" applyFill="1" applyBorder="1" applyAlignment="1" applyProtection="1">
      <alignment horizontal="center" wrapText="1"/>
      <protection locked="0"/>
    </xf>
    <xf numFmtId="0" fontId="60" fillId="0" borderId="0" xfId="0" applyFont="1" applyBorder="1" applyAlignment="1">
      <alignment horizontal="center" vertical="center"/>
    </xf>
    <xf numFmtId="14" fontId="60" fillId="0" borderId="0" xfId="0" applyNumberFormat="1" applyFont="1" applyBorder="1" applyAlignment="1">
      <alignment horizontal="center" vertical="center"/>
    </xf>
    <xf numFmtId="0" fontId="15" fillId="0" borderId="0" xfId="0" applyFont="1" applyAlignment="1" applyProtection="1">
      <alignment horizontal="center" vertical="center" wrapText="1"/>
      <protection locked="0"/>
    </xf>
    <xf numFmtId="0" fontId="15" fillId="0" borderId="0" xfId="0" applyFont="1" applyAlignment="1" applyProtection="1">
      <alignment horizontal="justify" vertical="center" wrapText="1"/>
      <protection locked="0"/>
    </xf>
    <xf numFmtId="0" fontId="15" fillId="0" borderId="0" xfId="0" applyFont="1" applyBorder="1" applyAlignment="1" applyProtection="1">
      <alignment horizontal="center" vertical="center" wrapText="1"/>
      <protection locked="0"/>
    </xf>
    <xf numFmtId="0" fontId="52" fillId="32" borderId="17" xfId="0" applyFont="1" applyFill="1" applyBorder="1" applyAlignment="1" applyProtection="1">
      <alignment horizontal="center" vertical="center" wrapText="1"/>
    </xf>
    <xf numFmtId="0" fontId="15" fillId="0" borderId="4" xfId="0" applyFont="1" applyBorder="1" applyAlignment="1" applyProtection="1">
      <alignment horizontal="center" vertical="center" wrapText="1"/>
      <protection locked="0"/>
    </xf>
    <xf numFmtId="0" fontId="30" fillId="0" borderId="4" xfId="0" applyFont="1" applyFill="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hidden="1"/>
    </xf>
    <xf numFmtId="0" fontId="15" fillId="0" borderId="4" xfId="0" applyFont="1" applyBorder="1" applyAlignment="1" applyProtection="1">
      <alignment horizontal="center" vertical="center" wrapText="1"/>
      <protection hidden="1"/>
    </xf>
    <xf numFmtId="0" fontId="15" fillId="0" borderId="24" xfId="0" applyFont="1" applyBorder="1" applyAlignment="1" applyProtection="1">
      <alignment horizontal="justify" vertical="center" wrapText="1"/>
      <protection locked="0"/>
    </xf>
    <xf numFmtId="0" fontId="15" fillId="0" borderId="14" xfId="0" applyFont="1" applyFill="1" applyBorder="1" applyAlignment="1" applyProtection="1">
      <alignment horizontal="center" vertical="center" wrapText="1"/>
      <protection locked="0"/>
    </xf>
    <xf numFmtId="0" fontId="30" fillId="0" borderId="4" xfId="0" applyFont="1" applyFill="1" applyBorder="1" applyAlignment="1" applyProtection="1">
      <alignment horizontal="justify" vertical="center" wrapText="1"/>
      <protection locked="0"/>
    </xf>
    <xf numFmtId="0" fontId="15" fillId="0" borderId="4" xfId="0" applyFont="1" applyFill="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hidden="1"/>
    </xf>
    <xf numFmtId="0" fontId="98" fillId="0" borderId="4" xfId="0" applyFont="1" applyFill="1" applyBorder="1" applyAlignment="1" applyProtection="1">
      <alignment horizontal="center" vertical="center" wrapText="1"/>
      <protection locked="0"/>
    </xf>
    <xf numFmtId="0" fontId="30" fillId="0" borderId="0" xfId="0" applyFont="1" applyBorder="1" applyAlignment="1" applyProtection="1">
      <alignment horizontal="center" vertical="center" wrapText="1"/>
      <protection hidden="1"/>
    </xf>
    <xf numFmtId="0" fontId="15" fillId="0" borderId="0" xfId="0" applyFont="1" applyBorder="1" applyAlignment="1" applyProtection="1">
      <alignment horizontal="center" vertical="center" wrapText="1"/>
      <protection hidden="1"/>
    </xf>
    <xf numFmtId="0" fontId="52" fillId="32" borderId="17" xfId="0" applyFont="1" applyFill="1" applyBorder="1" applyAlignment="1" applyProtection="1">
      <alignment horizontal="center" vertical="center" wrapText="1"/>
    </xf>
    <xf numFmtId="0" fontId="15" fillId="0" borderId="0" xfId="0" applyFont="1" applyFill="1" applyBorder="1" applyAlignment="1">
      <alignment vertical="center" wrapText="1"/>
    </xf>
    <xf numFmtId="0" fontId="15" fillId="0" borderId="0" xfId="0" applyFont="1" applyFill="1" applyBorder="1" applyAlignment="1">
      <alignment horizontal="center" vertical="center" wrapText="1"/>
    </xf>
    <xf numFmtId="0" fontId="85" fillId="0" borderId="0" xfId="0" applyFont="1" applyFill="1" applyBorder="1" applyAlignment="1">
      <alignment horizontal="center" vertical="center" wrapText="1"/>
    </xf>
    <xf numFmtId="0" fontId="85" fillId="0" borderId="0" xfId="0" applyFont="1" applyFill="1" applyBorder="1" applyAlignment="1">
      <alignment vertical="center" wrapText="1"/>
    </xf>
    <xf numFmtId="0" fontId="66" fillId="29" borderId="11" xfId="0" applyFont="1" applyFill="1" applyBorder="1" applyAlignment="1">
      <alignment horizontal="center" vertical="center" wrapText="1"/>
    </xf>
    <xf numFmtId="0" fontId="68" fillId="0" borderId="0" xfId="0" applyFont="1" applyAlignment="1">
      <alignment vertical="center" wrapText="1"/>
    </xf>
    <xf numFmtId="0" fontId="66" fillId="29" borderId="14" xfId="0" applyFont="1" applyFill="1" applyBorder="1" applyAlignment="1">
      <alignment horizontal="center" vertical="center" wrapText="1"/>
    </xf>
    <xf numFmtId="0" fontId="68" fillId="0" borderId="0" xfId="0" applyFont="1" applyFill="1" applyBorder="1" applyAlignment="1">
      <alignment horizontal="justify" vertical="center" wrapText="1"/>
    </xf>
    <xf numFmtId="0" fontId="66" fillId="29" borderId="16" xfId="0" applyFont="1" applyFill="1" applyBorder="1" applyAlignment="1">
      <alignment horizontal="center" vertical="center" wrapText="1"/>
    </xf>
    <xf numFmtId="0" fontId="68" fillId="0" borderId="0" xfId="0" applyFont="1" applyAlignment="1">
      <alignment horizontal="center" vertical="center" wrapText="1"/>
    </xf>
    <xf numFmtId="0" fontId="68" fillId="0" borderId="0" xfId="0" applyFont="1" applyFill="1" applyAlignment="1">
      <alignment vertical="center" wrapText="1"/>
    </xf>
    <xf numFmtId="0" fontId="68" fillId="0" borderId="0" xfId="0" applyFont="1" applyFill="1" applyBorder="1" applyAlignment="1">
      <alignment horizontal="center" vertical="center" wrapText="1"/>
    </xf>
    <xf numFmtId="0" fontId="68" fillId="0"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2" fillId="6" borderId="4"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2" fillId="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8" fillId="3" borderId="4" xfId="0" applyFont="1" applyFill="1" applyBorder="1" applyAlignment="1">
      <alignment horizontal="center" vertical="center" wrapText="1"/>
    </xf>
    <xf numFmtId="0" fontId="62" fillId="4" borderId="17" xfId="0" applyFont="1" applyFill="1" applyBorder="1" applyAlignment="1">
      <alignment horizontal="center" vertical="center" wrapText="1"/>
    </xf>
    <xf numFmtId="0" fontId="66" fillId="29" borderId="25" xfId="0" applyFont="1" applyFill="1" applyBorder="1" applyAlignment="1">
      <alignment horizontal="center" vertical="center" wrapText="1"/>
    </xf>
    <xf numFmtId="0" fontId="66" fillId="29" borderId="26" xfId="0" applyFont="1" applyFill="1" applyBorder="1" applyAlignment="1">
      <alignment horizontal="center" vertical="center" wrapText="1"/>
    </xf>
    <xf numFmtId="0" fontId="66" fillId="29" borderId="27" xfId="0" applyFont="1" applyFill="1" applyBorder="1" applyAlignment="1">
      <alignment horizontal="center" vertical="center" wrapText="1"/>
    </xf>
    <xf numFmtId="0" fontId="66" fillId="29" borderId="12" xfId="0" applyFont="1" applyFill="1" applyBorder="1" applyAlignment="1">
      <alignment horizontal="center" vertical="center" wrapText="1"/>
    </xf>
    <xf numFmtId="0" fontId="66" fillId="29" borderId="106" xfId="0" applyFont="1" applyFill="1" applyBorder="1" applyAlignment="1">
      <alignment horizontal="center" vertical="center" wrapText="1"/>
    </xf>
    <xf numFmtId="0" fontId="15" fillId="0" borderId="83" xfId="0" applyFont="1" applyFill="1" applyBorder="1" applyAlignment="1" applyProtection="1">
      <alignment horizontal="center" vertical="center" wrapText="1"/>
      <protection locked="0"/>
    </xf>
    <xf numFmtId="0" fontId="30" fillId="0" borderId="83" xfId="0" applyFont="1" applyFill="1" applyBorder="1" applyAlignment="1" applyProtection="1">
      <alignment horizontal="center" vertical="center" wrapText="1"/>
      <protection locked="0"/>
    </xf>
    <xf numFmtId="0" fontId="15" fillId="0" borderId="83" xfId="0" applyFont="1" applyBorder="1" applyAlignment="1" applyProtection="1">
      <alignment horizontal="center" vertical="center" wrapText="1"/>
      <protection locked="0"/>
    </xf>
    <xf numFmtId="0" fontId="6" fillId="35" borderId="108" xfId="9" applyFont="1" applyFill="1" applyBorder="1" applyAlignment="1">
      <alignment horizontal="left" vertical="center" wrapText="1"/>
    </xf>
    <xf numFmtId="0" fontId="15" fillId="0" borderId="108" xfId="0" applyFont="1" applyBorder="1" applyAlignment="1">
      <alignment horizontal="center" vertical="center"/>
    </xf>
    <xf numFmtId="0" fontId="15" fillId="0" borderId="108" xfId="0" applyFont="1" applyBorder="1" applyAlignment="1">
      <alignment horizontal="center" vertical="center" wrapText="1"/>
    </xf>
    <xf numFmtId="0" fontId="15" fillId="0" borderId="0" xfId="0" applyFont="1" applyAlignment="1">
      <alignment horizontal="center" vertical="center"/>
    </xf>
    <xf numFmtId="0" fontId="52" fillId="29" borderId="108" xfId="0" applyFont="1" applyFill="1" applyBorder="1" applyAlignment="1">
      <alignment horizontal="center" vertical="center" wrapText="1"/>
    </xf>
    <xf numFmtId="0" fontId="61" fillId="29" borderId="108" xfId="0" applyFont="1" applyFill="1" applyBorder="1" applyAlignment="1">
      <alignment horizontal="center" vertical="center" wrapText="1"/>
    </xf>
    <xf numFmtId="0" fontId="68" fillId="0" borderId="108" xfId="0" applyFont="1" applyBorder="1" applyAlignment="1">
      <alignment horizontal="center" vertical="center"/>
    </xf>
    <xf numFmtId="0" fontId="68" fillId="0" borderId="108" xfId="0" applyFont="1" applyBorder="1" applyAlignment="1">
      <alignment vertical="center" wrapText="1"/>
    </xf>
    <xf numFmtId="0" fontId="68" fillId="0" borderId="108" xfId="0" applyFont="1" applyFill="1" applyBorder="1" applyAlignment="1">
      <alignment vertical="center" wrapText="1"/>
    </xf>
    <xf numFmtId="0" fontId="68" fillId="0" borderId="108" xfId="0" applyFont="1" applyBorder="1" applyAlignment="1">
      <alignment horizontal="left" vertical="center" wrapText="1"/>
    </xf>
    <xf numFmtId="0" fontId="68" fillId="0" borderId="108" xfId="0" applyFont="1" applyBorder="1" applyAlignment="1">
      <alignment vertical="center"/>
    </xf>
    <xf numFmtId="0" fontId="15" fillId="0" borderId="0" xfId="0" applyFont="1" applyAlignment="1">
      <alignment vertical="center"/>
    </xf>
    <xf numFmtId="0" fontId="81" fillId="35" borderId="108" xfId="9" applyFont="1" applyFill="1" applyBorder="1" applyAlignment="1">
      <alignment horizontal="center" vertical="center"/>
    </xf>
    <xf numFmtId="0" fontId="15" fillId="0" borderId="0" xfId="0" applyFont="1" applyAlignment="1">
      <alignment vertical="center" wrapText="1"/>
    </xf>
    <xf numFmtId="0" fontId="6" fillId="0" borderId="15" xfId="0" applyFont="1" applyBorder="1" applyAlignment="1">
      <alignment vertical="center" wrapText="1"/>
    </xf>
    <xf numFmtId="0" fontId="6" fillId="0" borderId="18" xfId="0" applyFont="1" applyBorder="1" applyAlignment="1">
      <alignment vertical="center" wrapText="1"/>
    </xf>
    <xf numFmtId="0" fontId="6" fillId="6" borderId="4" xfId="0" applyFont="1" applyFill="1" applyBorder="1" applyAlignment="1">
      <alignment vertical="center" wrapText="1"/>
    </xf>
    <xf numFmtId="0" fontId="6" fillId="6" borderId="17" xfId="0" applyFont="1" applyFill="1" applyBorder="1" applyAlignment="1">
      <alignment vertical="center" wrapText="1"/>
    </xf>
    <xf numFmtId="0" fontId="66" fillId="29" borderId="14" xfId="0" applyFont="1" applyFill="1" applyBorder="1" applyAlignment="1">
      <alignment vertical="center" wrapText="1"/>
    </xf>
    <xf numFmtId="0" fontId="66" fillId="29" borderId="16" xfId="0" applyFont="1" applyFill="1" applyBorder="1" applyAlignment="1">
      <alignment vertical="center" wrapText="1"/>
    </xf>
    <xf numFmtId="0" fontId="68" fillId="0" borderId="15" xfId="0" applyFont="1" applyBorder="1" applyAlignment="1">
      <alignment vertical="center" wrapText="1"/>
    </xf>
    <xf numFmtId="0" fontId="68" fillId="0" borderId="18" xfId="0" applyFont="1" applyBorder="1" applyAlignment="1">
      <alignment vertical="center" wrapText="1"/>
    </xf>
    <xf numFmtId="0" fontId="87" fillId="0" borderId="0" xfId="0" applyFont="1" applyBorder="1" applyAlignment="1">
      <alignment vertical="center" wrapText="1"/>
    </xf>
    <xf numFmtId="0" fontId="89" fillId="0" borderId="0" xfId="0" applyFont="1" applyBorder="1" applyAlignment="1">
      <alignment vertical="center" wrapText="1"/>
    </xf>
    <xf numFmtId="14" fontId="89" fillId="0" borderId="0" xfId="0" applyNumberFormat="1" applyFont="1" applyBorder="1" applyAlignment="1">
      <alignment vertical="center" wrapText="1"/>
    </xf>
    <xf numFmtId="0" fontId="80" fillId="8" borderId="0" xfId="0" applyFont="1" applyFill="1" applyProtection="1">
      <protection locked="0"/>
    </xf>
    <xf numFmtId="0" fontId="63" fillId="8" borderId="0" xfId="0" applyFont="1" applyFill="1" applyProtection="1">
      <protection hidden="1"/>
    </xf>
    <xf numFmtId="0" fontId="63" fillId="8" borderId="0" xfId="0" applyFont="1" applyFill="1" applyAlignment="1" applyProtection="1">
      <alignment vertical="center"/>
      <protection hidden="1"/>
    </xf>
    <xf numFmtId="0" fontId="63" fillId="8" borderId="0" xfId="0" applyFont="1" applyFill="1" applyProtection="1">
      <protection locked="0"/>
    </xf>
    <xf numFmtId="0" fontId="9" fillId="8" borderId="0" xfId="0" applyFont="1" applyFill="1" applyProtection="1">
      <protection locked="0"/>
    </xf>
    <xf numFmtId="1" fontId="63" fillId="8" borderId="0" xfId="0" applyNumberFormat="1" applyFont="1" applyFill="1" applyProtection="1">
      <protection locked="0"/>
    </xf>
    <xf numFmtId="0" fontId="9" fillId="8" borderId="22" xfId="0" applyFont="1" applyFill="1" applyBorder="1" applyProtection="1">
      <protection locked="0"/>
    </xf>
    <xf numFmtId="0" fontId="99" fillId="8" borderId="22" xfId="0" applyFont="1" applyFill="1" applyBorder="1" applyProtection="1">
      <protection locked="0"/>
    </xf>
    <xf numFmtId="0" fontId="99" fillId="13" borderId="22" xfId="0" applyFont="1" applyFill="1" applyBorder="1" applyAlignment="1" applyProtection="1">
      <alignment horizontal="center" vertical="center"/>
      <protection hidden="1"/>
    </xf>
    <xf numFmtId="0" fontId="80" fillId="8" borderId="22" xfId="0" applyFont="1" applyFill="1" applyBorder="1" applyAlignment="1" applyProtection="1">
      <alignment horizontal="center" vertical="center" wrapText="1"/>
      <protection locked="0"/>
    </xf>
    <xf numFmtId="0" fontId="9" fillId="8" borderId="22" xfId="0" applyFont="1" applyFill="1" applyBorder="1" applyAlignment="1" applyProtection="1">
      <alignment wrapText="1"/>
      <protection locked="0"/>
    </xf>
    <xf numFmtId="0" fontId="100" fillId="8" borderId="22" xfId="0" applyFont="1" applyFill="1" applyBorder="1" applyAlignment="1" applyProtection="1">
      <alignment horizontal="center" wrapText="1"/>
      <protection locked="0"/>
    </xf>
    <xf numFmtId="0" fontId="100" fillId="13" borderId="22" xfId="0" applyFont="1" applyFill="1" applyBorder="1" applyAlignment="1" applyProtection="1">
      <alignment horizontal="center" vertical="center" wrapText="1"/>
      <protection hidden="1"/>
    </xf>
    <xf numFmtId="0" fontId="9" fillId="8" borderId="22" xfId="0" applyFont="1" applyFill="1" applyBorder="1" applyAlignment="1" applyProtection="1">
      <alignment horizontal="center" vertical="center" wrapText="1"/>
      <protection locked="0"/>
    </xf>
    <xf numFmtId="0" fontId="80" fillId="16" borderId="22" xfId="0" applyFont="1" applyFill="1" applyBorder="1" applyProtection="1">
      <protection locked="0"/>
    </xf>
    <xf numFmtId="0" fontId="80" fillId="16" borderId="22" xfId="0" applyFont="1" applyFill="1" applyBorder="1" applyProtection="1">
      <protection hidden="1"/>
    </xf>
    <xf numFmtId="0" fontId="76" fillId="8" borderId="22" xfId="0" applyFont="1" applyFill="1" applyBorder="1" applyProtection="1">
      <protection locked="0"/>
    </xf>
    <xf numFmtId="0" fontId="76" fillId="13" borderId="22" xfId="0" applyFont="1" applyFill="1" applyBorder="1" applyAlignment="1" applyProtection="1">
      <alignment horizontal="center" vertical="center"/>
      <protection hidden="1"/>
    </xf>
    <xf numFmtId="0" fontId="9" fillId="8" borderId="22" xfId="0" applyFont="1" applyFill="1" applyBorder="1" applyAlignment="1" applyProtection="1">
      <alignment horizontal="center" wrapText="1"/>
      <protection locked="0"/>
    </xf>
    <xf numFmtId="0" fontId="9" fillId="13" borderId="22" xfId="0" applyFont="1" applyFill="1" applyBorder="1" applyAlignment="1" applyProtection="1">
      <alignment horizontal="center" vertical="center" wrapText="1"/>
      <protection hidden="1"/>
    </xf>
    <xf numFmtId="0" fontId="9" fillId="0" borderId="22" xfId="0" applyFont="1" applyFill="1" applyBorder="1" applyAlignment="1" applyProtection="1">
      <alignment horizontal="center" vertical="center" wrapText="1"/>
      <protection locked="0"/>
    </xf>
    <xf numFmtId="0" fontId="63" fillId="0" borderId="22" xfId="0" applyFont="1" applyFill="1" applyBorder="1" applyProtection="1">
      <protection locked="0"/>
    </xf>
    <xf numFmtId="0" fontId="14" fillId="0" borderId="22" xfId="0" applyFont="1" applyFill="1" applyBorder="1" applyAlignment="1" applyProtection="1">
      <alignment horizontal="center"/>
      <protection locked="0"/>
    </xf>
    <xf numFmtId="0" fontId="14" fillId="0" borderId="22" xfId="0" applyFont="1" applyFill="1" applyBorder="1" applyAlignment="1" applyProtection="1">
      <alignment horizontal="center"/>
      <protection hidden="1"/>
    </xf>
    <xf numFmtId="0" fontId="14" fillId="0" borderId="22" xfId="0" applyFont="1" applyFill="1" applyBorder="1" applyAlignment="1" applyProtection="1">
      <alignment horizontal="center" vertical="center" wrapText="1"/>
      <protection locked="0"/>
    </xf>
    <xf numFmtId="0" fontId="74" fillId="11" borderId="83" xfId="0" applyFont="1" applyFill="1" applyBorder="1" applyAlignment="1" applyProtection="1">
      <alignment horizontal="center" vertical="center" wrapText="1"/>
      <protection locked="0"/>
    </xf>
    <xf numFmtId="0" fontId="74" fillId="11" borderId="83" xfId="0" applyFont="1" applyFill="1" applyBorder="1" applyAlignment="1" applyProtection="1">
      <alignment horizontal="center" vertical="center"/>
      <protection locked="0"/>
    </xf>
    <xf numFmtId="0" fontId="30" fillId="8" borderId="83" xfId="0" applyFont="1" applyFill="1" applyBorder="1" applyProtection="1">
      <protection locked="0"/>
    </xf>
    <xf numFmtId="0" fontId="15" fillId="8" borderId="83" xfId="0" applyFont="1" applyFill="1" applyBorder="1" applyProtection="1">
      <protection locked="0"/>
    </xf>
    <xf numFmtId="0" fontId="24" fillId="29" borderId="83" xfId="0" applyFont="1" applyFill="1" applyBorder="1" applyAlignment="1" applyProtection="1">
      <alignment horizontal="right" vertical="center"/>
      <protection locked="0"/>
    </xf>
    <xf numFmtId="0" fontId="6" fillId="0" borderId="17" xfId="0" applyFont="1" applyBorder="1" applyAlignment="1">
      <alignment horizontal="justify" vertical="center" wrapText="1"/>
    </xf>
    <xf numFmtId="0" fontId="68" fillId="0" borderId="4" xfId="0" applyFont="1" applyBorder="1" applyAlignment="1">
      <alignment horizontal="justify" vertical="center" wrapText="1"/>
    </xf>
    <xf numFmtId="0" fontId="6" fillId="0" borderId="4" xfId="0" applyFont="1" applyBorder="1" applyAlignment="1">
      <alignment horizontal="justify" vertical="center" wrapText="1"/>
    </xf>
    <xf numFmtId="0" fontId="102" fillId="0" borderId="108" xfId="9" applyFont="1" applyBorder="1" applyAlignment="1">
      <alignment horizontal="center" vertical="center" wrapText="1"/>
    </xf>
    <xf numFmtId="0" fontId="102" fillId="35" borderId="108" xfId="9" applyFont="1" applyFill="1" applyBorder="1" applyAlignment="1">
      <alignment horizontal="center" vertical="center" wrapText="1"/>
    </xf>
    <xf numFmtId="0" fontId="102" fillId="0" borderId="108" xfId="9" applyFont="1" applyBorder="1" applyAlignment="1">
      <alignment horizontal="center" vertical="center"/>
    </xf>
    <xf numFmtId="0" fontId="68" fillId="0" borderId="108" xfId="0" applyFont="1" applyFill="1" applyBorder="1" applyAlignment="1">
      <alignment horizontal="justify" vertical="center" wrapText="1"/>
    </xf>
    <xf numFmtId="0" fontId="68" fillId="0" borderId="17" xfId="0" applyFont="1" applyBorder="1" applyAlignment="1">
      <alignment horizontal="justify" vertical="center" wrapText="1"/>
    </xf>
    <xf numFmtId="0" fontId="68" fillId="35" borderId="108" xfId="9" applyFont="1" applyFill="1" applyBorder="1" applyAlignment="1">
      <alignment horizontal="left" vertical="center" wrapText="1"/>
    </xf>
    <xf numFmtId="0" fontId="68" fillId="0" borderId="108" xfId="9" applyFont="1" applyBorder="1" applyAlignment="1">
      <alignment horizontal="left" vertical="center" wrapText="1"/>
    </xf>
    <xf numFmtId="0" fontId="15" fillId="0" borderId="0" xfId="0" applyFont="1" applyAlignment="1">
      <alignment horizontal="center"/>
    </xf>
    <xf numFmtId="0" fontId="85" fillId="0" borderId="0" xfId="0" applyFont="1" applyAlignment="1">
      <alignment horizontal="center" vertical="center" wrapText="1"/>
    </xf>
    <xf numFmtId="14" fontId="84" fillId="0" borderId="0" xfId="0" applyNumberFormat="1" applyFont="1" applyAlignment="1">
      <alignment horizontal="center" vertical="center" wrapText="1"/>
    </xf>
    <xf numFmtId="14" fontId="84" fillId="0" borderId="0" xfId="0" applyNumberFormat="1" applyFont="1" applyAlignment="1">
      <alignment vertical="center" wrapText="1"/>
    </xf>
    <xf numFmtId="0" fontId="6" fillId="0" borderId="0" xfId="6"/>
    <xf numFmtId="0" fontId="15" fillId="8" borderId="0" xfId="5" applyFont="1" applyFill="1" applyBorder="1"/>
    <xf numFmtId="0" fontId="14" fillId="8" borderId="0" xfId="6" applyFont="1" applyFill="1" applyAlignment="1">
      <alignment horizontal="center" vertical="center" wrapText="1"/>
    </xf>
    <xf numFmtId="0" fontId="6" fillId="8" borderId="0" xfId="6" applyFill="1"/>
    <xf numFmtId="0" fontId="68" fillId="8" borderId="0" xfId="5" applyFont="1" applyFill="1" applyBorder="1"/>
    <xf numFmtId="0" fontId="14" fillId="8" borderId="47" xfId="5" applyFont="1" applyFill="1" applyBorder="1" applyAlignment="1">
      <alignment horizontal="left" vertical="center" wrapText="1"/>
    </xf>
    <xf numFmtId="49" fontId="50" fillId="8" borderId="66" xfId="6" applyNumberFormat="1" applyFont="1" applyFill="1" applyBorder="1" applyAlignment="1" applyProtection="1">
      <alignment horizontal="center" vertical="center" shrinkToFit="1"/>
      <protection locked="0"/>
    </xf>
    <xf numFmtId="49" fontId="50" fillId="8" borderId="67" xfId="6" applyNumberFormat="1" applyFont="1" applyFill="1" applyBorder="1" applyAlignment="1" applyProtection="1">
      <alignment horizontal="center" vertical="center" shrinkToFit="1"/>
      <protection locked="0"/>
    </xf>
    <xf numFmtId="0" fontId="68" fillId="0" borderId="97" xfId="0" applyFont="1" applyBorder="1" applyAlignment="1">
      <alignment horizontal="center" vertical="center" wrapText="1"/>
    </xf>
    <xf numFmtId="0" fontId="15" fillId="0" borderId="97" xfId="0" applyFont="1" applyBorder="1" applyAlignment="1">
      <alignment horizontal="center"/>
    </xf>
    <xf numFmtId="0" fontId="66" fillId="32" borderId="97" xfId="0" applyFont="1" applyFill="1" applyBorder="1" applyAlignment="1">
      <alignment horizontal="center" vertical="center" wrapText="1"/>
    </xf>
    <xf numFmtId="0" fontId="66" fillId="32" borderId="98" xfId="0" applyFont="1" applyFill="1" applyBorder="1" applyAlignment="1">
      <alignment horizontal="center" vertical="center" wrapText="1"/>
    </xf>
    <xf numFmtId="0" fontId="66" fillId="32" borderId="99" xfId="0" applyFont="1" applyFill="1" applyBorder="1" applyAlignment="1">
      <alignment horizontal="center" vertical="center" wrapText="1"/>
    </xf>
    <xf numFmtId="0" fontId="66" fillId="32" borderId="100" xfId="0" applyFont="1" applyFill="1" applyBorder="1" applyAlignment="1">
      <alignment horizontal="center" vertical="center" wrapText="1"/>
    </xf>
    <xf numFmtId="0" fontId="15" fillId="0" borderId="84" xfId="0" applyFont="1" applyBorder="1" applyAlignment="1">
      <alignment horizontal="center"/>
    </xf>
    <xf numFmtId="0" fontId="82" fillId="0" borderId="84" xfId="0" applyFont="1" applyBorder="1" applyAlignment="1">
      <alignment horizontal="center" vertical="center" wrapText="1"/>
    </xf>
    <xf numFmtId="0" fontId="68" fillId="0" borderId="84" xfId="0" applyFont="1" applyBorder="1" applyAlignment="1">
      <alignment horizontal="center" vertical="center" wrapText="1"/>
    </xf>
    <xf numFmtId="0" fontId="81" fillId="0" borderId="84" xfId="0" applyFont="1" applyBorder="1" applyAlignment="1">
      <alignment horizontal="center" vertical="center" wrapText="1"/>
    </xf>
    <xf numFmtId="0" fontId="85" fillId="0" borderId="84" xfId="0" applyFont="1" applyBorder="1" applyAlignment="1">
      <alignment horizontal="center" vertical="center" wrapText="1"/>
    </xf>
    <xf numFmtId="14" fontId="81" fillId="0" borderId="84" xfId="0" applyNumberFormat="1" applyFont="1" applyBorder="1" applyAlignment="1">
      <alignment horizontal="center" vertical="center" wrapText="1"/>
    </xf>
    <xf numFmtId="0" fontId="25" fillId="29" borderId="71" xfId="0" applyFont="1" applyFill="1" applyBorder="1" applyAlignment="1">
      <alignment horizontal="center" vertical="center"/>
    </xf>
    <xf numFmtId="0" fontId="51" fillId="29" borderId="60" xfId="8" applyFont="1" applyFill="1" applyBorder="1" applyAlignment="1" applyProtection="1">
      <alignment horizontal="left" vertical="center" wrapText="1"/>
    </xf>
    <xf numFmtId="0" fontId="51" fillId="29" borderId="61" xfId="8" applyFont="1" applyFill="1" applyBorder="1" applyAlignment="1" applyProtection="1">
      <alignment horizontal="left" vertical="center" wrapText="1"/>
    </xf>
    <xf numFmtId="0" fontId="16" fillId="30" borderId="0" xfId="7" applyFont="1" applyFill="1" applyBorder="1">
      <alignment horizontal="center" vertical="center"/>
    </xf>
    <xf numFmtId="0" fontId="16" fillId="30" borderId="59" xfId="7" applyFont="1" applyFill="1" applyBorder="1">
      <alignment horizontal="center" vertical="center"/>
    </xf>
    <xf numFmtId="0" fontId="35" fillId="0" borderId="0" xfId="7" applyFont="1" applyFill="1" applyBorder="1" applyAlignment="1">
      <alignment horizontal="center" vertical="center"/>
    </xf>
    <xf numFmtId="0" fontId="25" fillId="29" borderId="71" xfId="0" applyFont="1" applyFill="1" applyBorder="1" applyAlignment="1">
      <alignment horizontal="center" vertical="center" wrapText="1"/>
    </xf>
    <xf numFmtId="0" fontId="50" fillId="8" borderId="0" xfId="6" applyNumberFormat="1" applyFont="1" applyFill="1" applyBorder="1" applyAlignment="1" applyProtection="1">
      <alignment horizontal="center" vertical="center" shrinkToFit="1"/>
      <protection locked="0"/>
    </xf>
    <xf numFmtId="0" fontId="50" fillId="8" borderId="64" xfId="6" applyNumberFormat="1" applyFont="1" applyFill="1" applyBorder="1" applyAlignment="1" applyProtection="1">
      <alignment horizontal="center" vertical="center" shrinkToFit="1"/>
      <protection locked="0"/>
    </xf>
    <xf numFmtId="0" fontId="51" fillId="31" borderId="0" xfId="8" applyFont="1" applyFill="1" applyBorder="1" applyAlignment="1" applyProtection="1">
      <alignment horizontal="left" vertical="center"/>
    </xf>
    <xf numFmtId="0" fontId="23" fillId="31" borderId="59" xfId="8" applyFont="1" applyFill="1" applyBorder="1" applyAlignment="1" applyProtection="1">
      <alignment horizontal="left" vertical="center"/>
    </xf>
    <xf numFmtId="0" fontId="46" fillId="30" borderId="62" xfId="7" applyFont="1" applyFill="1" applyBorder="1">
      <alignment horizontal="center" vertical="center"/>
    </xf>
    <xf numFmtId="0" fontId="83" fillId="0" borderId="84" xfId="0" applyFont="1" applyBorder="1" applyAlignment="1">
      <alignment horizontal="center" vertical="center" wrapText="1"/>
    </xf>
    <xf numFmtId="0" fontId="84" fillId="0" borderId="84" xfId="0" applyFont="1" applyBorder="1" applyAlignment="1">
      <alignment horizontal="center" vertical="center" wrapText="1"/>
    </xf>
    <xf numFmtId="14" fontId="84" fillId="0" borderId="84" xfId="0" applyNumberFormat="1" applyFont="1" applyBorder="1" applyAlignment="1">
      <alignment horizontal="center" vertical="center" wrapText="1"/>
    </xf>
    <xf numFmtId="0" fontId="76" fillId="31" borderId="63" xfId="6" applyFont="1" applyFill="1" applyBorder="1" applyAlignment="1" applyProtection="1">
      <alignment horizontal="right"/>
    </xf>
    <xf numFmtId="0" fontId="76" fillId="31" borderId="0" xfId="6" applyFont="1" applyFill="1" applyBorder="1" applyAlignment="1" applyProtection="1">
      <alignment horizontal="right"/>
    </xf>
    <xf numFmtId="0" fontId="73" fillId="31" borderId="63" xfId="6" applyFont="1" applyFill="1" applyBorder="1" applyAlignment="1" applyProtection="1">
      <alignment horizontal="right" vertical="center" wrapText="1"/>
    </xf>
    <xf numFmtId="0" fontId="73" fillId="31" borderId="0" xfId="6" applyFont="1" applyFill="1" applyBorder="1" applyAlignment="1" applyProtection="1">
      <alignment horizontal="right" vertical="center" wrapText="1"/>
    </xf>
    <xf numFmtId="0" fontId="73" fillId="31" borderId="79" xfId="6" applyFont="1" applyFill="1" applyBorder="1" applyAlignment="1" applyProtection="1">
      <alignment horizontal="right" vertical="center" wrapText="1"/>
    </xf>
    <xf numFmtId="0" fontId="45" fillId="31" borderId="75" xfId="6" applyFont="1" applyFill="1" applyBorder="1" applyAlignment="1" applyProtection="1">
      <alignment horizontal="center" vertical="center"/>
    </xf>
    <xf numFmtId="0" fontId="45" fillId="31" borderId="76" xfId="6" applyFont="1" applyFill="1" applyBorder="1" applyAlignment="1" applyProtection="1">
      <alignment horizontal="center" vertical="center"/>
    </xf>
    <xf numFmtId="0" fontId="45" fillId="31" borderId="77" xfId="6" applyFont="1" applyFill="1" applyBorder="1" applyAlignment="1" applyProtection="1">
      <alignment horizontal="center" vertical="center"/>
    </xf>
    <xf numFmtId="0" fontId="45" fillId="31" borderId="78" xfId="6" applyFont="1" applyFill="1" applyBorder="1" applyAlignment="1" applyProtection="1">
      <alignment horizontal="center" vertical="center"/>
    </xf>
    <xf numFmtId="0" fontId="45" fillId="31" borderId="0" xfId="6" applyFont="1" applyFill="1" applyBorder="1" applyAlignment="1" applyProtection="1">
      <alignment horizontal="center" vertical="center"/>
    </xf>
    <xf numFmtId="0" fontId="45" fillId="31" borderId="79" xfId="6" applyFont="1" applyFill="1" applyBorder="1" applyAlignment="1" applyProtection="1">
      <alignment horizontal="center" vertical="center"/>
    </xf>
    <xf numFmtId="0" fontId="45" fillId="31" borderId="80" xfId="6" applyFont="1" applyFill="1" applyBorder="1" applyAlignment="1" applyProtection="1">
      <alignment horizontal="center" vertical="center"/>
    </xf>
    <xf numFmtId="0" fontId="45" fillId="31" borderId="81" xfId="6" applyFont="1" applyFill="1" applyBorder="1" applyAlignment="1" applyProtection="1">
      <alignment horizontal="center" vertical="center"/>
    </xf>
    <xf numFmtId="0" fontId="45" fillId="31" borderId="82" xfId="6" applyFont="1" applyFill="1" applyBorder="1" applyAlignment="1" applyProtection="1">
      <alignment horizontal="center" vertical="center"/>
    </xf>
    <xf numFmtId="0" fontId="35" fillId="30" borderId="0" xfId="7" applyFont="1" applyFill="1" applyBorder="1" applyAlignment="1">
      <alignment horizontal="center" vertical="center"/>
    </xf>
    <xf numFmtId="0" fontId="47" fillId="31" borderId="0" xfId="6" applyFont="1" applyFill="1" applyBorder="1" applyAlignment="1" applyProtection="1">
      <alignment horizontal="justify" wrapText="1"/>
    </xf>
    <xf numFmtId="0" fontId="47" fillId="31" borderId="0" xfId="6" applyFont="1" applyFill="1" applyBorder="1" applyAlignment="1" applyProtection="1">
      <alignment horizontal="justify"/>
    </xf>
    <xf numFmtId="0" fontId="35" fillId="29" borderId="0" xfId="6" applyFont="1" applyFill="1" applyBorder="1" applyAlignment="1" applyProtection="1">
      <alignment horizontal="center" vertical="center" wrapText="1"/>
    </xf>
    <xf numFmtId="0" fontId="35" fillId="29" borderId="0" xfId="6" applyFont="1" applyFill="1" applyBorder="1" applyAlignment="1" applyProtection="1">
      <alignment horizontal="center" vertical="center"/>
    </xf>
    <xf numFmtId="0" fontId="15" fillId="0" borderId="88" xfId="0" applyFont="1" applyBorder="1" applyAlignment="1">
      <alignment horizontal="center"/>
    </xf>
    <xf numFmtId="0" fontId="15" fillId="0" borderId="89" xfId="0" applyFont="1" applyBorder="1" applyAlignment="1">
      <alignment horizontal="center"/>
    </xf>
    <xf numFmtId="0" fontId="15" fillId="0" borderId="90" xfId="0" applyFont="1" applyBorder="1" applyAlignment="1">
      <alignment horizontal="center"/>
    </xf>
    <xf numFmtId="0" fontId="82" fillId="0" borderId="85" xfId="0" applyFont="1" applyBorder="1" applyAlignment="1">
      <alignment horizontal="center" vertical="center" wrapText="1"/>
    </xf>
    <xf numFmtId="0" fontId="82" fillId="0" borderId="86" xfId="0" applyFont="1" applyBorder="1" applyAlignment="1">
      <alignment horizontal="center" vertical="center" wrapText="1"/>
    </xf>
    <xf numFmtId="0" fontId="82" fillId="0" borderId="87" xfId="0" applyFont="1" applyBorder="1" applyAlignment="1">
      <alignment horizontal="center" vertical="center" wrapText="1"/>
    </xf>
    <xf numFmtId="0" fontId="85" fillId="0" borderId="85" xfId="0" applyFont="1" applyBorder="1" applyAlignment="1">
      <alignment horizontal="center" vertical="center" wrapText="1"/>
    </xf>
    <xf numFmtId="0" fontId="85" fillId="0" borderId="86" xfId="0" applyFont="1" applyBorder="1" applyAlignment="1">
      <alignment horizontal="center" vertical="center" wrapText="1"/>
    </xf>
    <xf numFmtId="0" fontId="85" fillId="0" borderId="87" xfId="0" applyFont="1" applyBorder="1" applyAlignment="1">
      <alignment horizontal="center" vertical="center" wrapText="1"/>
    </xf>
    <xf numFmtId="0" fontId="14" fillId="32" borderId="0" xfId="6" applyFont="1" applyFill="1" applyBorder="1" applyAlignment="1" applyProtection="1">
      <alignment horizontal="justify" vertical="center" wrapText="1"/>
    </xf>
    <xf numFmtId="0" fontId="24" fillId="29" borderId="0" xfId="6" applyFont="1" applyFill="1" applyBorder="1" applyAlignment="1">
      <alignment horizontal="center" vertical="center" wrapText="1"/>
    </xf>
    <xf numFmtId="49" fontId="24" fillId="29" borderId="0" xfId="6" applyNumberFormat="1" applyFont="1" applyFill="1" applyBorder="1" applyAlignment="1" applyProtection="1">
      <alignment horizontal="center" vertical="center"/>
    </xf>
    <xf numFmtId="0" fontId="24" fillId="29" borderId="0" xfId="6" applyFont="1" applyFill="1" applyBorder="1" applyAlignment="1" applyProtection="1">
      <alignment horizontal="center" vertical="center" wrapText="1"/>
    </xf>
    <xf numFmtId="1" fontId="24" fillId="29" borderId="0" xfId="6" applyNumberFormat="1" applyFont="1" applyFill="1" applyBorder="1" applyAlignment="1" applyProtection="1">
      <alignment horizontal="center" vertical="center"/>
    </xf>
    <xf numFmtId="0" fontId="24" fillId="29" borderId="0" xfId="6" applyFont="1" applyFill="1" applyBorder="1" applyAlignment="1" applyProtection="1">
      <alignment horizontal="center" vertical="center"/>
    </xf>
    <xf numFmtId="0" fontId="14" fillId="32" borderId="0" xfId="6" applyFont="1" applyFill="1" applyBorder="1" applyAlignment="1" applyProtection="1">
      <alignment horizontal="center" vertical="center" wrapText="1"/>
    </xf>
    <xf numFmtId="0" fontId="24" fillId="29" borderId="0" xfId="6" applyNumberFormat="1" applyFont="1" applyFill="1" applyBorder="1" applyAlignment="1" applyProtection="1">
      <alignment horizontal="center" vertical="center"/>
    </xf>
    <xf numFmtId="0" fontId="82" fillId="0" borderId="91" xfId="0" applyFont="1" applyBorder="1" applyAlignment="1">
      <alignment horizontal="center" vertical="center" wrapText="1"/>
    </xf>
    <xf numFmtId="0" fontId="82" fillId="0" borderId="92" xfId="0" applyFont="1" applyBorder="1" applyAlignment="1">
      <alignment horizontal="center" vertical="center" wrapText="1"/>
    </xf>
    <xf numFmtId="0" fontId="82" fillId="0" borderId="93" xfId="0" applyFont="1" applyBorder="1" applyAlignment="1">
      <alignment horizontal="center" vertical="center" wrapText="1"/>
    </xf>
    <xf numFmtId="0" fontId="82" fillId="0" borderId="94" xfId="0" applyFont="1" applyBorder="1" applyAlignment="1">
      <alignment horizontal="center" vertical="center" wrapText="1"/>
    </xf>
    <xf numFmtId="0" fontId="82" fillId="0" borderId="95" xfId="0" applyFont="1" applyBorder="1" applyAlignment="1">
      <alignment horizontal="center" vertical="center" wrapText="1"/>
    </xf>
    <xf numFmtId="0" fontId="82" fillId="0" borderId="96" xfId="0" applyFont="1" applyBorder="1" applyAlignment="1">
      <alignment horizontal="center" vertical="center" wrapText="1"/>
    </xf>
    <xf numFmtId="0" fontId="24" fillId="29" borderId="83" xfId="5" applyFont="1" applyFill="1" applyBorder="1" applyAlignment="1">
      <alignment horizontal="center" vertical="center"/>
    </xf>
    <xf numFmtId="0" fontId="14" fillId="32" borderId="46" xfId="6" applyFont="1" applyFill="1" applyBorder="1" applyAlignment="1" applyProtection="1">
      <alignment horizontal="justify" vertical="center" wrapText="1"/>
    </xf>
    <xf numFmtId="0" fontId="14" fillId="32" borderId="46" xfId="5" applyFont="1" applyFill="1" applyBorder="1" applyAlignment="1">
      <alignment horizontal="justify" vertical="center" wrapText="1"/>
    </xf>
    <xf numFmtId="0" fontId="14" fillId="32" borderId="0" xfId="5" applyFont="1" applyFill="1" applyBorder="1" applyAlignment="1">
      <alignment horizontal="justify" vertical="center" wrapText="1"/>
    </xf>
    <xf numFmtId="0" fontId="70" fillId="8" borderId="56" xfId="5" applyFont="1" applyFill="1" applyBorder="1" applyAlignment="1">
      <alignment horizontal="center" vertical="center" wrapText="1"/>
    </xf>
    <xf numFmtId="0" fontId="70" fillId="8" borderId="6" xfId="5" applyFont="1" applyFill="1" applyBorder="1" applyAlignment="1">
      <alignment horizontal="center" vertical="center" wrapText="1"/>
    </xf>
    <xf numFmtId="0" fontId="70" fillId="8" borderId="7" xfId="5" applyFont="1" applyFill="1" applyBorder="1" applyAlignment="1">
      <alignment horizontal="center" vertical="center" wrapText="1"/>
    </xf>
    <xf numFmtId="0" fontId="70" fillId="8" borderId="53" xfId="5" applyFont="1" applyFill="1" applyBorder="1" applyAlignment="1">
      <alignment horizontal="center" vertical="center" wrapText="1"/>
    </xf>
    <xf numFmtId="0" fontId="70" fillId="8" borderId="46" xfId="5" applyFont="1" applyFill="1" applyBorder="1" applyAlignment="1">
      <alignment horizontal="center" vertical="center" wrapText="1"/>
    </xf>
    <xf numFmtId="0" fontId="70" fillId="8" borderId="57" xfId="5" applyFont="1" applyFill="1" applyBorder="1" applyAlignment="1">
      <alignment horizontal="center" vertical="center" wrapText="1"/>
    </xf>
    <xf numFmtId="0" fontId="70" fillId="8" borderId="51" xfId="5" applyFont="1" applyFill="1" applyBorder="1" applyAlignment="1">
      <alignment horizontal="center" vertical="center" wrapText="1"/>
    </xf>
    <xf numFmtId="0" fontId="70" fillId="8" borderId="0" xfId="5" applyFont="1" applyFill="1" applyBorder="1" applyAlignment="1">
      <alignment horizontal="center" vertical="center" wrapText="1"/>
    </xf>
    <xf numFmtId="0" fontId="70" fillId="8" borderId="52" xfId="5" applyFont="1" applyFill="1" applyBorder="1" applyAlignment="1">
      <alignment horizontal="center" vertical="center" wrapText="1"/>
    </xf>
    <xf numFmtId="0" fontId="73" fillId="36" borderId="83" xfId="0" applyFont="1" applyFill="1" applyBorder="1" applyAlignment="1">
      <alignment horizontal="center" vertical="center" wrapText="1"/>
    </xf>
    <xf numFmtId="0" fontId="70" fillId="8" borderId="83" xfId="5" applyFont="1" applyFill="1" applyBorder="1" applyAlignment="1">
      <alignment horizontal="center" vertical="center" wrapText="1"/>
    </xf>
    <xf numFmtId="0" fontId="70" fillId="8" borderId="54" xfId="5" applyFont="1" applyFill="1" applyBorder="1" applyAlignment="1">
      <alignment horizontal="center" vertical="center" wrapText="1"/>
    </xf>
    <xf numFmtId="0" fontId="70" fillId="8" borderId="47" xfId="5" applyFont="1" applyFill="1" applyBorder="1" applyAlignment="1">
      <alignment horizontal="center" vertical="center" wrapText="1"/>
    </xf>
    <xf numFmtId="0" fontId="70" fillId="8" borderId="55" xfId="5" applyFont="1" applyFill="1" applyBorder="1" applyAlignment="1">
      <alignment horizontal="center" vertical="center" wrapText="1"/>
    </xf>
    <xf numFmtId="0" fontId="52" fillId="32" borderId="83" xfId="5" applyFont="1" applyFill="1" applyBorder="1" applyAlignment="1">
      <alignment horizontal="center" vertical="center"/>
    </xf>
    <xf numFmtId="0" fontId="70" fillId="36" borderId="46" xfId="6" applyFont="1" applyFill="1" applyBorder="1" applyAlignment="1">
      <alignment horizontal="center" vertical="center" wrapText="1"/>
    </xf>
    <xf numFmtId="0" fontId="70" fillId="36" borderId="0" xfId="6" applyFont="1" applyFill="1" applyAlignment="1">
      <alignment horizontal="center" vertical="center" wrapText="1"/>
    </xf>
    <xf numFmtId="0" fontId="70" fillId="36" borderId="46" xfId="5" applyFont="1" applyFill="1" applyBorder="1" applyAlignment="1">
      <alignment horizontal="justify" vertical="center" wrapText="1"/>
    </xf>
    <xf numFmtId="0" fontId="70" fillId="36" borderId="0" xfId="5" applyFont="1" applyFill="1" applyBorder="1" applyAlignment="1">
      <alignment horizontal="justify" vertical="center" wrapText="1"/>
    </xf>
    <xf numFmtId="0" fontId="70" fillId="36" borderId="47" xfId="5" applyFont="1" applyFill="1" applyBorder="1" applyAlignment="1">
      <alignment horizontal="justify" vertical="center" wrapText="1"/>
    </xf>
    <xf numFmtId="0" fontId="39" fillId="8" borderId="14" xfId="0" applyFont="1" applyFill="1" applyBorder="1" applyAlignment="1" applyProtection="1">
      <alignment horizontal="left" vertical="center" wrapText="1"/>
      <protection hidden="1"/>
    </xf>
    <xf numFmtId="0" fontId="39" fillId="8" borderId="83" xfId="0" applyFont="1" applyFill="1" applyBorder="1" applyAlignment="1" applyProtection="1">
      <alignment horizontal="left" vertical="center" wrapText="1"/>
      <protection hidden="1"/>
    </xf>
    <xf numFmtId="0" fontId="39" fillId="8" borderId="83" xfId="0" applyFont="1" applyFill="1" applyBorder="1" applyAlignment="1" applyProtection="1">
      <alignment horizontal="left" vertical="center"/>
      <protection hidden="1"/>
    </xf>
    <xf numFmtId="0" fontId="39" fillId="8" borderId="15" xfId="0" applyFont="1" applyFill="1" applyBorder="1" applyAlignment="1" applyProtection="1">
      <alignment horizontal="left" vertical="center"/>
      <protection hidden="1"/>
    </xf>
    <xf numFmtId="0" fontId="39" fillId="8" borderId="16" xfId="0" applyFont="1" applyFill="1" applyBorder="1" applyAlignment="1" applyProtection="1">
      <alignment horizontal="left" vertical="center"/>
      <protection hidden="1"/>
    </xf>
    <xf numFmtId="0" fontId="39" fillId="8" borderId="17" xfId="0" applyFont="1" applyFill="1" applyBorder="1" applyAlignment="1" applyProtection="1">
      <alignment horizontal="left" vertical="center"/>
      <protection hidden="1"/>
    </xf>
    <xf numFmtId="0" fontId="39" fillId="8" borderId="18" xfId="0" applyFont="1" applyFill="1" applyBorder="1" applyAlignment="1" applyProtection="1">
      <alignment horizontal="left" vertical="center"/>
      <protection hidden="1"/>
    </xf>
    <xf numFmtId="0" fontId="80" fillId="8" borderId="19" xfId="0" applyFont="1" applyFill="1" applyBorder="1" applyAlignment="1" applyProtection="1">
      <alignment horizontal="justify" vertical="center" wrapText="1"/>
      <protection locked="0"/>
    </xf>
    <xf numFmtId="0" fontId="80" fillId="8" borderId="20" xfId="0" applyFont="1" applyFill="1" applyBorder="1" applyAlignment="1" applyProtection="1">
      <alignment horizontal="justify" vertical="center" wrapText="1"/>
      <protection locked="0"/>
    </xf>
    <xf numFmtId="0" fontId="80" fillId="8" borderId="21" xfId="0" applyFont="1" applyFill="1" applyBorder="1" applyAlignment="1" applyProtection="1">
      <alignment horizontal="justify" vertical="center" wrapText="1"/>
      <protection locked="0"/>
    </xf>
    <xf numFmtId="0" fontId="14" fillId="29" borderId="11" xfId="0" applyFont="1" applyFill="1" applyBorder="1" applyAlignment="1" applyProtection="1">
      <alignment horizontal="center" vertical="center"/>
      <protection hidden="1"/>
    </xf>
    <xf numFmtId="0" fontId="14" fillId="29" borderId="12" xfId="0" applyFont="1" applyFill="1" applyBorder="1" applyAlignment="1" applyProtection="1">
      <alignment horizontal="center" vertical="center"/>
      <protection hidden="1"/>
    </xf>
    <xf numFmtId="0" fontId="14" fillId="29" borderId="13" xfId="0" applyFont="1" applyFill="1" applyBorder="1" applyAlignment="1" applyProtection="1">
      <alignment horizontal="center" vertical="center"/>
      <protection hidden="1"/>
    </xf>
    <xf numFmtId="0" fontId="76" fillId="13" borderId="22" xfId="0" applyFont="1" applyFill="1" applyBorder="1" applyAlignment="1" applyProtection="1">
      <alignment horizontal="right" vertical="center" wrapText="1"/>
      <protection locked="0"/>
    </xf>
    <xf numFmtId="0" fontId="14" fillId="29" borderId="83" xfId="0" applyFont="1" applyFill="1" applyBorder="1" applyAlignment="1" applyProtection="1">
      <alignment horizontal="center" vertical="center"/>
      <protection hidden="1"/>
    </xf>
    <xf numFmtId="0" fontId="14" fillId="29" borderId="14" xfId="0" applyFont="1" applyFill="1" applyBorder="1" applyAlignment="1" applyProtection="1">
      <alignment horizontal="center" vertical="center"/>
      <protection hidden="1"/>
    </xf>
    <xf numFmtId="0" fontId="14" fillId="29" borderId="15" xfId="0" applyFont="1" applyFill="1" applyBorder="1" applyAlignment="1" applyProtection="1">
      <alignment horizontal="center" vertical="center"/>
      <protection hidden="1"/>
    </xf>
    <xf numFmtId="0" fontId="39" fillId="8" borderId="15" xfId="0" applyFont="1" applyFill="1" applyBorder="1" applyAlignment="1" applyProtection="1">
      <alignment horizontal="left" vertical="center" wrapText="1"/>
      <protection hidden="1"/>
    </xf>
    <xf numFmtId="0" fontId="76" fillId="13" borderId="22" xfId="0" applyFont="1" applyFill="1" applyBorder="1" applyAlignment="1" applyProtection="1">
      <alignment horizontal="right" vertical="center"/>
      <protection locked="0"/>
    </xf>
    <xf numFmtId="0" fontId="80" fillId="8" borderId="22" xfId="0" applyFont="1" applyFill="1" applyBorder="1" applyAlignment="1" applyProtection="1">
      <alignment horizontal="justify" vertical="center" wrapText="1"/>
      <protection locked="0"/>
    </xf>
    <xf numFmtId="0" fontId="80" fillId="8" borderId="22" xfId="0" applyFont="1" applyFill="1" applyBorder="1" applyAlignment="1" applyProtection="1">
      <alignment horizontal="left" vertical="center" wrapText="1"/>
      <protection locked="0"/>
    </xf>
    <xf numFmtId="0" fontId="66" fillId="29" borderId="22" xfId="0" applyFont="1" applyFill="1" applyBorder="1" applyAlignment="1" applyProtection="1">
      <alignment horizontal="center" vertical="center"/>
      <protection hidden="1"/>
    </xf>
    <xf numFmtId="0" fontId="76" fillId="13" borderId="111" xfId="0" applyFont="1" applyFill="1" applyBorder="1" applyAlignment="1" applyProtection="1">
      <alignment horizontal="right" vertical="center"/>
      <protection locked="0"/>
    </xf>
    <xf numFmtId="0" fontId="80" fillId="0" borderId="19" xfId="0" applyFont="1" applyBorder="1" applyAlignment="1">
      <alignment horizontal="justify" vertical="center" wrapText="1"/>
    </xf>
    <xf numFmtId="0" fontId="80" fillId="0" borderId="20" xfId="0" applyFont="1" applyBorder="1" applyAlignment="1">
      <alignment horizontal="justify" vertical="center" wrapText="1"/>
    </xf>
    <xf numFmtId="0" fontId="80" fillId="0" borderId="21" xfId="0" applyFont="1" applyBorder="1" applyAlignment="1">
      <alignment horizontal="justify" vertical="center" wrapText="1"/>
    </xf>
    <xf numFmtId="0" fontId="80" fillId="0" borderId="19" xfId="0" applyFont="1" applyBorder="1" applyAlignment="1">
      <alignment horizontal="left" vertical="center" wrapText="1"/>
    </xf>
    <xf numFmtId="0" fontId="80" fillId="0" borderId="20" xfId="0" applyFont="1" applyBorder="1" applyAlignment="1">
      <alignment horizontal="left" vertical="center" wrapText="1"/>
    </xf>
    <xf numFmtId="0" fontId="80" fillId="0" borderId="21" xfId="0" applyFont="1" applyBorder="1" applyAlignment="1">
      <alignment horizontal="left" vertical="center" wrapText="1"/>
    </xf>
    <xf numFmtId="0" fontId="91" fillId="0" borderId="84" xfId="0" applyFont="1" applyBorder="1" applyAlignment="1">
      <alignment horizontal="center"/>
    </xf>
    <xf numFmtId="0" fontId="92" fillId="0" borderId="84" xfId="0" applyFont="1" applyBorder="1" applyAlignment="1">
      <alignment horizontal="center" vertical="center" wrapText="1"/>
    </xf>
    <xf numFmtId="0" fontId="91" fillId="0" borderId="84" xfId="0" applyFont="1" applyBorder="1" applyAlignment="1">
      <alignment horizontal="center" vertical="center" wrapText="1"/>
    </xf>
    <xf numFmtId="0" fontId="101" fillId="0" borderId="84" xfId="0" applyFont="1" applyBorder="1" applyAlignment="1">
      <alignment horizontal="center" vertical="center" wrapText="1"/>
    </xf>
    <xf numFmtId="0" fontId="94" fillId="0" borderId="84" xfId="0" applyFont="1" applyBorder="1" applyAlignment="1">
      <alignment horizontal="center" vertical="center" wrapText="1"/>
    </xf>
    <xf numFmtId="0" fontId="95" fillId="0" borderId="84" xfId="0" applyFont="1" applyBorder="1" applyAlignment="1">
      <alignment horizontal="center" vertical="center" wrapText="1"/>
    </xf>
    <xf numFmtId="14" fontId="94" fillId="0" borderId="84" xfId="0" applyNumberFormat="1" applyFont="1" applyBorder="1" applyAlignment="1">
      <alignment horizontal="center" vertical="center" wrapText="1"/>
    </xf>
    <xf numFmtId="164" fontId="65" fillId="17" borderId="83" xfId="0" applyNumberFormat="1" applyFont="1" applyFill="1" applyBorder="1" applyAlignment="1" applyProtection="1">
      <alignment horizontal="center" vertical="center" wrapText="1"/>
      <protection hidden="1"/>
    </xf>
    <xf numFmtId="0" fontId="60" fillId="14" borderId="83" xfId="0" applyFont="1" applyFill="1" applyBorder="1" applyAlignment="1" applyProtection="1">
      <alignment horizontal="center" vertical="center" wrapText="1"/>
      <protection hidden="1"/>
    </xf>
    <xf numFmtId="164" fontId="65" fillId="14" borderId="83" xfId="0" applyNumberFormat="1" applyFont="1" applyFill="1" applyBorder="1" applyAlignment="1" applyProtection="1">
      <alignment horizontal="center" vertical="center" wrapText="1"/>
      <protection hidden="1"/>
    </xf>
    <xf numFmtId="0" fontId="75" fillId="8" borderId="0" xfId="0" applyFont="1" applyFill="1" applyAlignment="1" applyProtection="1">
      <alignment horizontal="center"/>
      <protection locked="0"/>
    </xf>
    <xf numFmtId="0" fontId="74" fillId="29" borderId="83" xfId="0" applyFont="1" applyFill="1" applyBorder="1" applyAlignment="1" applyProtection="1">
      <alignment horizontal="center" vertical="center"/>
      <protection hidden="1"/>
    </xf>
    <xf numFmtId="0" fontId="76" fillId="0" borderId="83" xfId="0" applyFont="1" applyFill="1" applyBorder="1" applyAlignment="1" applyProtection="1">
      <alignment horizontal="center" vertical="center" wrapText="1"/>
      <protection hidden="1"/>
    </xf>
    <xf numFmtId="0" fontId="70" fillId="0" borderId="83" xfId="0" applyFont="1" applyFill="1" applyBorder="1" applyAlignment="1" applyProtection="1">
      <alignment horizontal="justify" vertical="center" wrapText="1"/>
      <protection hidden="1"/>
    </xf>
    <xf numFmtId="0" fontId="73" fillId="12" borderId="51" xfId="0" applyFont="1" applyFill="1" applyBorder="1" applyAlignment="1" applyProtection="1">
      <alignment horizontal="center" vertical="center"/>
      <protection hidden="1"/>
    </xf>
    <xf numFmtId="0" fontId="73" fillId="12" borderId="9" xfId="0" applyFont="1" applyFill="1" applyBorder="1" applyAlignment="1" applyProtection="1">
      <alignment horizontal="center" vertical="center"/>
      <protection hidden="1"/>
    </xf>
    <xf numFmtId="0" fontId="73" fillId="12" borderId="0" xfId="0" applyFont="1" applyFill="1" applyBorder="1" applyAlignment="1" applyProtection="1">
      <alignment horizontal="center" vertical="center"/>
      <protection hidden="1"/>
    </xf>
    <xf numFmtId="0" fontId="15" fillId="29" borderId="0" xfId="0" applyFont="1" applyFill="1" applyAlignment="1" applyProtection="1">
      <alignment horizontal="center"/>
      <protection hidden="1"/>
    </xf>
    <xf numFmtId="0" fontId="24" fillId="29" borderId="83" xfId="0" applyFont="1" applyFill="1" applyBorder="1" applyAlignment="1" applyProtection="1">
      <alignment horizontal="center" vertical="center"/>
      <protection hidden="1"/>
    </xf>
    <xf numFmtId="0" fontId="73" fillId="34" borderId="83" xfId="0" applyFont="1" applyFill="1" applyBorder="1" applyAlignment="1" applyProtection="1">
      <alignment horizontal="center" vertical="center"/>
      <protection hidden="1"/>
    </xf>
    <xf numFmtId="0" fontId="15" fillId="29" borderId="52" xfId="0" applyFont="1" applyFill="1" applyBorder="1" applyAlignment="1" applyProtection="1">
      <alignment horizontal="center"/>
      <protection hidden="1"/>
    </xf>
    <xf numFmtId="0" fontId="36" fillId="3" borderId="53" xfId="0" applyFont="1" applyFill="1" applyBorder="1" applyAlignment="1" applyProtection="1">
      <alignment horizontal="center" vertical="center" wrapText="1"/>
      <protection hidden="1"/>
    </xf>
    <xf numFmtId="0" fontId="36" fillId="3" borderId="46" xfId="0" applyFont="1" applyFill="1" applyBorder="1" applyAlignment="1" applyProtection="1">
      <alignment horizontal="center" vertical="center" wrapText="1"/>
      <protection hidden="1"/>
    </xf>
    <xf numFmtId="0" fontId="36" fillId="3" borderId="57" xfId="0" applyFont="1" applyFill="1" applyBorder="1" applyAlignment="1" applyProtection="1">
      <alignment horizontal="center" vertical="center" wrapText="1"/>
      <protection hidden="1"/>
    </xf>
    <xf numFmtId="0" fontId="36" fillId="3" borderId="54" xfId="0" applyFont="1" applyFill="1" applyBorder="1" applyAlignment="1" applyProtection="1">
      <alignment horizontal="center" vertical="center" wrapText="1"/>
      <protection hidden="1"/>
    </xf>
    <xf numFmtId="0" fontId="36" fillId="3" borderId="47" xfId="0" applyFont="1" applyFill="1" applyBorder="1" applyAlignment="1" applyProtection="1">
      <alignment horizontal="center" vertical="center" wrapText="1"/>
      <protection hidden="1"/>
    </xf>
    <xf numFmtId="0" fontId="36" fillId="3" borderId="55" xfId="0" applyFont="1" applyFill="1" applyBorder="1" applyAlignment="1" applyProtection="1">
      <alignment horizontal="center" vertical="center" wrapText="1"/>
      <protection hidden="1"/>
    </xf>
    <xf numFmtId="0" fontId="73" fillId="12" borderId="10" xfId="0" applyFont="1" applyFill="1" applyBorder="1" applyAlignment="1" applyProtection="1">
      <alignment horizontal="center" vertical="center"/>
      <protection hidden="1"/>
    </xf>
    <xf numFmtId="0" fontId="52" fillId="20" borderId="53" xfId="0" applyFont="1" applyFill="1" applyBorder="1" applyAlignment="1" applyProtection="1">
      <alignment horizontal="center" vertical="center" wrapText="1"/>
      <protection hidden="1"/>
    </xf>
    <xf numFmtId="0" fontId="52" fillId="20" borderId="46" xfId="0" applyFont="1" applyFill="1" applyBorder="1" applyAlignment="1" applyProtection="1">
      <alignment horizontal="center" vertical="center" wrapText="1"/>
      <protection hidden="1"/>
    </xf>
    <xf numFmtId="0" fontId="52" fillId="20" borderId="57" xfId="0" applyFont="1" applyFill="1" applyBorder="1" applyAlignment="1" applyProtection="1">
      <alignment horizontal="center" vertical="center" wrapText="1"/>
      <protection hidden="1"/>
    </xf>
    <xf numFmtId="0" fontId="52" fillId="20" borderId="54" xfId="0" applyFont="1" applyFill="1" applyBorder="1" applyAlignment="1" applyProtection="1">
      <alignment horizontal="center" vertical="center" wrapText="1"/>
      <protection hidden="1"/>
    </xf>
    <xf numFmtId="0" fontId="52" fillId="20" borderId="47" xfId="0" applyFont="1" applyFill="1" applyBorder="1" applyAlignment="1" applyProtection="1">
      <alignment horizontal="center" vertical="center" wrapText="1"/>
      <protection hidden="1"/>
    </xf>
    <xf numFmtId="0" fontId="52" fillId="20" borderId="55" xfId="0" applyFont="1" applyFill="1" applyBorder="1" applyAlignment="1" applyProtection="1">
      <alignment horizontal="center" vertical="center" wrapText="1"/>
      <protection hidden="1"/>
    </xf>
    <xf numFmtId="0" fontId="73" fillId="4" borderId="53" xfId="0" applyFont="1" applyFill="1" applyBorder="1" applyAlignment="1" applyProtection="1">
      <alignment horizontal="center" vertical="center" wrapText="1"/>
      <protection hidden="1"/>
    </xf>
    <xf numFmtId="0" fontId="73" fillId="4" borderId="46" xfId="0" applyFont="1" applyFill="1" applyBorder="1" applyAlignment="1" applyProtection="1">
      <alignment horizontal="center" vertical="center" wrapText="1"/>
      <protection hidden="1"/>
    </xf>
    <xf numFmtId="0" fontId="73" fillId="4" borderId="57" xfId="0" applyFont="1" applyFill="1" applyBorder="1" applyAlignment="1" applyProtection="1">
      <alignment horizontal="center" vertical="center" wrapText="1"/>
      <protection hidden="1"/>
    </xf>
    <xf numFmtId="0" fontId="73" fillId="4" borderId="54" xfId="0" applyFont="1" applyFill="1" applyBorder="1" applyAlignment="1" applyProtection="1">
      <alignment horizontal="center" vertical="center" wrapText="1"/>
      <protection hidden="1"/>
    </xf>
    <xf numFmtId="0" fontId="73" fillId="4" borderId="47" xfId="0" applyFont="1" applyFill="1" applyBorder="1" applyAlignment="1" applyProtection="1">
      <alignment horizontal="center" vertical="center" wrapText="1"/>
      <protection hidden="1"/>
    </xf>
    <xf numFmtId="0" fontId="73" fillId="4" borderId="55" xfId="0" applyFont="1" applyFill="1" applyBorder="1" applyAlignment="1" applyProtection="1">
      <alignment horizontal="center" vertical="center" wrapText="1"/>
      <protection hidden="1"/>
    </xf>
    <xf numFmtId="0" fontId="52" fillId="21" borderId="53" xfId="0" applyFont="1" applyFill="1" applyBorder="1" applyAlignment="1" applyProtection="1">
      <alignment horizontal="center" vertical="center" wrapText="1"/>
      <protection hidden="1"/>
    </xf>
    <xf numFmtId="0" fontId="52" fillId="21" borderId="46" xfId="0" applyFont="1" applyFill="1" applyBorder="1" applyAlignment="1" applyProtection="1">
      <alignment horizontal="center" vertical="center" wrapText="1"/>
      <protection hidden="1"/>
    </xf>
    <xf numFmtId="0" fontId="52" fillId="21" borderId="57" xfId="0" applyFont="1" applyFill="1" applyBorder="1" applyAlignment="1" applyProtection="1">
      <alignment horizontal="center" vertical="center" wrapText="1"/>
      <protection hidden="1"/>
    </xf>
    <xf numFmtId="0" fontId="52" fillId="21" borderId="54" xfId="0" applyFont="1" applyFill="1" applyBorder="1" applyAlignment="1" applyProtection="1">
      <alignment horizontal="center" vertical="center" wrapText="1"/>
      <protection hidden="1"/>
    </xf>
    <xf numFmtId="0" fontId="52" fillId="21" borderId="47" xfId="0" applyFont="1" applyFill="1" applyBorder="1" applyAlignment="1" applyProtection="1">
      <alignment horizontal="center" vertical="center" wrapText="1"/>
      <protection hidden="1"/>
    </xf>
    <xf numFmtId="0" fontId="52" fillId="21" borderId="55" xfId="0" applyFont="1" applyFill="1" applyBorder="1" applyAlignment="1" applyProtection="1">
      <alignment horizontal="center" vertical="center" wrapText="1"/>
      <protection hidden="1"/>
    </xf>
    <xf numFmtId="0" fontId="74" fillId="29" borderId="56" xfId="0" applyFont="1" applyFill="1" applyBorder="1" applyAlignment="1" applyProtection="1">
      <alignment horizontal="center" vertical="center" wrapText="1"/>
      <protection hidden="1"/>
    </xf>
    <xf numFmtId="0" fontId="74" fillId="29" borderId="6" xfId="0" applyFont="1" applyFill="1" applyBorder="1" applyAlignment="1" applyProtection="1">
      <alignment horizontal="center" vertical="center" wrapText="1"/>
      <protection hidden="1"/>
    </xf>
    <xf numFmtId="0" fontId="74" fillId="29" borderId="7" xfId="0" applyFont="1" applyFill="1" applyBorder="1" applyAlignment="1" applyProtection="1">
      <alignment horizontal="center" vertical="center" wrapText="1"/>
      <protection hidden="1"/>
    </xf>
    <xf numFmtId="0" fontId="60" fillId="17" borderId="83" xfId="0" applyFont="1" applyFill="1" applyBorder="1" applyAlignment="1" applyProtection="1">
      <alignment horizontal="center" vertical="center" wrapText="1"/>
      <protection hidden="1"/>
    </xf>
    <xf numFmtId="0" fontId="87" fillId="0" borderId="84" xfId="0" applyFont="1" applyBorder="1" applyAlignment="1">
      <alignment horizontal="center"/>
    </xf>
    <xf numFmtId="0" fontId="88" fillId="0" borderId="84" xfId="0" applyFont="1" applyBorder="1" applyAlignment="1">
      <alignment horizontal="center" vertical="center" wrapText="1"/>
    </xf>
    <xf numFmtId="0" fontId="87" fillId="0" borderId="84" xfId="0" applyFont="1" applyBorder="1" applyAlignment="1">
      <alignment horizontal="center" vertical="center" wrapText="1"/>
    </xf>
    <xf numFmtId="0" fontId="38" fillId="0" borderId="84" xfId="0" applyFont="1" applyBorder="1" applyAlignment="1">
      <alignment horizontal="center" vertical="center" wrapText="1"/>
    </xf>
    <xf numFmtId="0" fontId="89" fillId="0" borderId="84" xfId="0" applyFont="1" applyBorder="1" applyAlignment="1">
      <alignment horizontal="center" vertical="center" wrapText="1"/>
    </xf>
    <xf numFmtId="0" fontId="90" fillId="0" borderId="84" xfId="0" applyFont="1" applyBorder="1" applyAlignment="1">
      <alignment horizontal="center" vertical="center" wrapText="1"/>
    </xf>
    <xf numFmtId="14" fontId="89" fillId="0" borderId="84" xfId="0" applyNumberFormat="1" applyFont="1" applyBorder="1" applyAlignment="1">
      <alignment horizontal="center" vertical="center" wrapText="1"/>
    </xf>
    <xf numFmtId="0" fontId="52" fillId="29" borderId="108" xfId="0" applyFont="1" applyFill="1" applyBorder="1" applyAlignment="1">
      <alignment horizontal="center" vertical="center" wrapText="1"/>
    </xf>
    <xf numFmtId="0" fontId="89" fillId="0" borderId="1" xfId="0" applyFont="1" applyBorder="1" applyAlignment="1">
      <alignment horizontal="center" vertical="center" wrapText="1"/>
    </xf>
    <xf numFmtId="14" fontId="89" fillId="0" borderId="1" xfId="0" applyNumberFormat="1" applyFont="1" applyBorder="1" applyAlignment="1">
      <alignment horizontal="center" vertical="center" wrapText="1"/>
    </xf>
    <xf numFmtId="0" fontId="87" fillId="0" borderId="91" xfId="0" applyFont="1" applyBorder="1" applyAlignment="1">
      <alignment horizontal="center"/>
    </xf>
    <xf numFmtId="0" fontId="87" fillId="0" borderId="93" xfId="0" applyFont="1" applyBorder="1" applyAlignment="1">
      <alignment horizontal="center"/>
    </xf>
    <xf numFmtId="0" fontId="87" fillId="0" borderId="109" xfId="0" applyFont="1" applyBorder="1" applyAlignment="1">
      <alignment horizontal="center"/>
    </xf>
    <xf numFmtId="0" fontId="87" fillId="0" borderId="110" xfId="0" applyFont="1" applyBorder="1" applyAlignment="1">
      <alignment horizontal="center"/>
    </xf>
    <xf numFmtId="0" fontId="87" fillId="0" borderId="94" xfId="0" applyFont="1" applyBorder="1" applyAlignment="1">
      <alignment horizontal="center"/>
    </xf>
    <xf numFmtId="0" fontId="87" fillId="0" borderId="96" xfId="0" applyFont="1" applyBorder="1" applyAlignment="1">
      <alignment horizontal="center"/>
    </xf>
    <xf numFmtId="0" fontId="90" fillId="0" borderId="91" xfId="0" applyFont="1" applyBorder="1" applyAlignment="1">
      <alignment horizontal="center" vertical="center" wrapText="1"/>
    </xf>
    <xf numFmtId="0" fontId="88" fillId="0" borderId="92" xfId="0" applyFont="1" applyBorder="1" applyAlignment="1">
      <alignment horizontal="center" vertical="center" wrapText="1"/>
    </xf>
    <xf numFmtId="0" fontId="88" fillId="0" borderId="94" xfId="0" applyFont="1" applyBorder="1" applyAlignment="1">
      <alignment horizontal="center" vertical="center" wrapText="1"/>
    </xf>
    <xf numFmtId="0" fontId="88" fillId="0" borderId="95" xfId="0" applyFont="1" applyBorder="1" applyAlignment="1">
      <alignment horizontal="center" vertical="center" wrapText="1"/>
    </xf>
    <xf numFmtId="0" fontId="88" fillId="0" borderId="91" xfId="0" applyFont="1" applyBorder="1" applyAlignment="1">
      <alignment horizontal="center" vertical="center" wrapText="1"/>
    </xf>
    <xf numFmtId="0" fontId="90" fillId="0" borderId="92" xfId="0" applyFont="1" applyBorder="1" applyAlignment="1">
      <alignment horizontal="center" vertical="center" wrapText="1"/>
    </xf>
    <xf numFmtId="0" fontId="90" fillId="0" borderId="94" xfId="0" applyFont="1" applyBorder="1" applyAlignment="1">
      <alignment horizontal="center" vertical="center" wrapText="1"/>
    </xf>
    <xf numFmtId="0" fontId="90" fillId="0" borderId="95" xfId="0" applyFont="1" applyBorder="1" applyAlignment="1">
      <alignment horizontal="center" vertical="center" wrapText="1"/>
    </xf>
    <xf numFmtId="0" fontId="87" fillId="0" borderId="1" xfId="0" applyFont="1" applyBorder="1" applyAlignment="1">
      <alignment horizontal="center" vertical="center" wrapText="1"/>
    </xf>
    <xf numFmtId="0" fontId="87" fillId="0" borderId="1" xfId="0" applyFont="1" applyBorder="1" applyAlignment="1">
      <alignment horizontal="center"/>
    </xf>
    <xf numFmtId="0" fontId="66" fillId="29" borderId="103" xfId="0" applyFont="1" applyFill="1" applyBorder="1" applyAlignment="1">
      <alignment horizontal="center" vertical="center" wrapText="1"/>
    </xf>
    <xf numFmtId="0" fontId="66" fillId="29" borderId="104" xfId="0" applyFont="1" applyFill="1" applyBorder="1" applyAlignment="1">
      <alignment horizontal="center" vertical="center" wrapText="1"/>
    </xf>
    <xf numFmtId="0" fontId="66" fillId="29" borderId="105" xfId="0" applyFont="1" applyFill="1" applyBorder="1" applyAlignment="1">
      <alignment horizontal="center" vertical="center" wrapText="1"/>
    </xf>
    <xf numFmtId="0" fontId="66" fillId="29" borderId="12" xfId="0" applyFont="1" applyFill="1" applyBorder="1" applyAlignment="1">
      <alignment horizontal="center" vertical="center" wrapText="1"/>
    </xf>
    <xf numFmtId="0" fontId="66" fillId="29" borderId="13" xfId="0" applyFont="1" applyFill="1" applyBorder="1" applyAlignment="1">
      <alignment horizontal="center" vertical="center" wrapText="1"/>
    </xf>
    <xf numFmtId="0" fontId="68" fillId="0" borderId="4" xfId="0" applyFont="1" applyBorder="1" applyAlignment="1">
      <alignment horizontal="justify" vertical="center" wrapText="1"/>
    </xf>
    <xf numFmtId="0" fontId="68" fillId="0" borderId="15" xfId="0" applyFont="1" applyBorder="1" applyAlignment="1">
      <alignment horizontal="justify" vertical="center" wrapText="1"/>
    </xf>
    <xf numFmtId="0" fontId="60" fillId="0" borderId="1" xfId="0" applyFont="1" applyBorder="1" applyAlignment="1">
      <alignment horizontal="center" vertical="center"/>
    </xf>
    <xf numFmtId="14" fontId="60" fillId="0" borderId="1" xfId="0" applyNumberFormat="1" applyFont="1" applyBorder="1" applyAlignment="1">
      <alignment horizontal="center" vertical="center"/>
    </xf>
    <xf numFmtId="0" fontId="68" fillId="0" borderId="56" xfId="0" applyFont="1" applyBorder="1" applyAlignment="1">
      <alignment horizontal="left" wrapText="1"/>
    </xf>
    <xf numFmtId="0" fontId="68" fillId="0" borderId="6" xfId="0" applyFont="1" applyBorder="1" applyAlignment="1">
      <alignment horizontal="left" wrapText="1"/>
    </xf>
    <xf numFmtId="0" fontId="68" fillId="0" borderId="107" xfId="0" applyFont="1" applyBorder="1" applyAlignment="1">
      <alignment horizontal="left" wrapText="1"/>
    </xf>
    <xf numFmtId="0" fontId="68" fillId="0" borderId="56" xfId="0" applyFont="1" applyBorder="1" applyAlignment="1">
      <alignment horizontal="left" vertical="center" wrapText="1"/>
    </xf>
    <xf numFmtId="0" fontId="68" fillId="0" borderId="6" xfId="0" applyFont="1" applyBorder="1" applyAlignment="1">
      <alignment horizontal="left" vertical="center" wrapText="1"/>
    </xf>
    <xf numFmtId="0" fontId="68" fillId="0" borderId="107" xfId="0" applyFont="1" applyBorder="1" applyAlignment="1">
      <alignment horizontal="left" vertical="center" wrapText="1"/>
    </xf>
    <xf numFmtId="0" fontId="6" fillId="0" borderId="4" xfId="0" applyFont="1" applyBorder="1" applyAlignment="1">
      <alignment horizontal="justify" vertical="center" wrapText="1"/>
    </xf>
    <xf numFmtId="0" fontId="6" fillId="0" borderId="15" xfId="0" applyFont="1" applyBorder="1" applyAlignment="1">
      <alignment horizontal="justify" vertical="center" wrapText="1"/>
    </xf>
    <xf numFmtId="0" fontId="68" fillId="0" borderId="31" xfId="0" applyFont="1" applyBorder="1" applyAlignment="1">
      <alignment horizontal="justify" vertical="center" wrapText="1"/>
    </xf>
    <xf numFmtId="0" fontId="68" fillId="0" borderId="32" xfId="0" applyFont="1" applyBorder="1" applyAlignment="1">
      <alignment horizontal="justify" vertical="center" wrapText="1"/>
    </xf>
    <xf numFmtId="0" fontId="68" fillId="0" borderId="33" xfId="0" applyFont="1" applyBorder="1" applyAlignment="1">
      <alignment horizontal="justify" vertical="center" wrapText="1"/>
    </xf>
    <xf numFmtId="0" fontId="6" fillId="0" borderId="17" xfId="0" applyFont="1" applyBorder="1" applyAlignment="1">
      <alignment horizontal="justify" vertical="center" wrapText="1"/>
    </xf>
    <xf numFmtId="0" fontId="6" fillId="0" borderId="18" xfId="0" applyFont="1" applyBorder="1" applyAlignment="1">
      <alignment horizontal="justify" vertical="center" wrapText="1"/>
    </xf>
    <xf numFmtId="0" fontId="68" fillId="0" borderId="28" xfId="0" applyFont="1" applyBorder="1" applyAlignment="1">
      <alignment horizontal="justify" vertical="center" wrapText="1"/>
    </xf>
    <xf numFmtId="0" fontId="68" fillId="0" borderId="29" xfId="0" applyFont="1" applyBorder="1" applyAlignment="1">
      <alignment horizontal="justify" vertical="center" wrapText="1"/>
    </xf>
    <xf numFmtId="0" fontId="68" fillId="0" borderId="30" xfId="0" applyFont="1" applyBorder="1" applyAlignment="1">
      <alignment horizontal="justify" vertical="center" wrapText="1"/>
    </xf>
    <xf numFmtId="0" fontId="15" fillId="0" borderId="101" xfId="0" applyFont="1" applyBorder="1" applyAlignment="1" applyProtection="1">
      <alignment horizontal="center" vertical="center" wrapText="1"/>
      <protection locked="0"/>
    </xf>
    <xf numFmtId="0" fontId="15" fillId="0" borderId="2" xfId="0" applyFont="1" applyBorder="1" applyAlignment="1" applyProtection="1">
      <alignment horizontal="center" vertical="center" wrapText="1"/>
      <protection locked="0"/>
    </xf>
    <xf numFmtId="0" fontId="15" fillId="0" borderId="102" xfId="0" applyFont="1" applyBorder="1" applyAlignment="1" applyProtection="1">
      <alignment horizontal="center" vertical="center" wrapText="1"/>
      <protection locked="0"/>
    </xf>
    <xf numFmtId="0" fontId="52" fillId="32" borderId="23" xfId="0" applyFont="1" applyFill="1" applyBorder="1" applyAlignment="1" applyProtection="1">
      <alignment horizontal="center" vertical="center" wrapText="1"/>
    </xf>
    <xf numFmtId="0" fontId="52" fillId="32" borderId="16" xfId="0" applyFont="1" applyFill="1" applyBorder="1" applyAlignment="1" applyProtection="1">
      <alignment horizontal="center" vertical="center" wrapText="1"/>
    </xf>
    <xf numFmtId="0" fontId="52" fillId="32" borderId="5" xfId="0" applyFont="1" applyFill="1" applyBorder="1" applyAlignment="1" applyProtection="1">
      <alignment horizontal="center" vertical="center" wrapText="1"/>
    </xf>
    <xf numFmtId="0" fontId="52" fillId="32" borderId="17" xfId="0" applyFont="1" applyFill="1" applyBorder="1" applyAlignment="1" applyProtection="1">
      <alignment horizontal="center" vertical="center" wrapText="1"/>
    </xf>
    <xf numFmtId="0" fontId="52" fillId="32" borderId="12" xfId="0" applyFont="1" applyFill="1" applyBorder="1" applyAlignment="1" applyProtection="1">
      <alignment horizontal="center" vertical="center" wrapText="1"/>
    </xf>
    <xf numFmtId="0" fontId="52" fillId="32" borderId="13" xfId="0" applyFont="1" applyFill="1" applyBorder="1" applyAlignment="1" applyProtection="1">
      <alignment horizontal="center" vertical="center" wrapText="1"/>
    </xf>
    <xf numFmtId="0" fontId="52" fillId="32" borderId="18" xfId="0" applyFont="1" applyFill="1" applyBorder="1" applyAlignment="1" applyProtection="1">
      <alignment horizontal="center" vertical="center" wrapText="1"/>
    </xf>
    <xf numFmtId="0" fontId="66" fillId="32" borderId="12" xfId="0" applyFont="1" applyFill="1" applyBorder="1" applyAlignment="1" applyProtection="1">
      <alignment horizontal="center" vertical="center" wrapText="1"/>
    </xf>
    <xf numFmtId="0" fontId="66" fillId="32" borderId="17" xfId="0" applyFont="1" applyFill="1" applyBorder="1" applyAlignment="1" applyProtection="1">
      <alignment horizontal="center" vertical="center" wrapText="1"/>
    </xf>
    <xf numFmtId="0" fontId="52" fillId="32" borderId="54" xfId="0" applyFont="1" applyFill="1" applyBorder="1" applyAlignment="1" applyProtection="1">
      <alignment horizontal="center" vertical="center" wrapText="1"/>
    </xf>
    <xf numFmtId="0" fontId="52" fillId="32" borderId="47" xfId="0" applyFont="1" applyFill="1" applyBorder="1" applyAlignment="1" applyProtection="1">
      <alignment horizontal="center" vertical="center" wrapText="1"/>
    </xf>
    <xf numFmtId="0" fontId="52" fillId="32" borderId="55" xfId="0" applyFont="1" applyFill="1" applyBorder="1" applyAlignment="1" applyProtection="1">
      <alignment horizontal="center" vertical="center" wrapText="1"/>
    </xf>
    <xf numFmtId="0" fontId="24" fillId="29" borderId="19" xfId="0" applyFont="1" applyFill="1" applyBorder="1" applyAlignment="1">
      <alignment horizontal="center" vertical="center"/>
    </xf>
    <xf numFmtId="0" fontId="24" fillId="29" borderId="20" xfId="0" applyFont="1" applyFill="1" applyBorder="1" applyAlignment="1">
      <alignment horizontal="center" vertical="center"/>
    </xf>
    <xf numFmtId="0" fontId="24" fillId="29" borderId="2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0" xfId="0" applyFont="1" applyFill="1" applyBorder="1" applyAlignment="1">
      <alignment horizontal="center" vertical="center" wrapText="1"/>
    </xf>
  </cellXfs>
  <cellStyles count="10">
    <cellStyle name="FONS" xfId="5" xr:uid="{00000000-0005-0000-0000-000000000000}"/>
    <cellStyle name="Hipervínculo" xfId="8" builtinId="8"/>
    <cellStyle name="Moneda 2" xfId="1" xr:uid="{00000000-0005-0000-0000-000002000000}"/>
    <cellStyle name="Moneda 2 2" xfId="3" xr:uid="{00000000-0005-0000-0000-000003000000}"/>
    <cellStyle name="Moneda 3" xfId="2" xr:uid="{00000000-0005-0000-0000-000004000000}"/>
    <cellStyle name="Neutral" xfId="4" builtinId="28"/>
    <cellStyle name="Normal" xfId="0" builtinId="0"/>
    <cellStyle name="Normal 2" xfId="6" xr:uid="{00000000-0005-0000-0000-000007000000}"/>
    <cellStyle name="Normal 3" xfId="9" xr:uid="{00000000-0005-0000-0000-000008000000}"/>
    <cellStyle name="Títol1" xfId="7" xr:uid="{00000000-0005-0000-0000-000009000000}"/>
  </cellStyles>
  <dxfs count="87">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tint="-0.499984740745262"/>
      </font>
      <fill>
        <patternFill>
          <bgColor theme="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color theme="0"/>
      </font>
      <fill>
        <patternFill>
          <bgColor rgb="FF002060"/>
        </patternFill>
      </fill>
    </dxf>
    <dxf>
      <font>
        <color theme="0"/>
      </font>
      <fill>
        <patternFill>
          <bgColor rgb="FF0000CC"/>
        </patternFill>
      </fill>
    </dxf>
    <dxf>
      <fill>
        <patternFill>
          <bgColor rgb="FFFFFF00"/>
        </patternFill>
      </fill>
    </dxf>
    <dxf>
      <fill>
        <patternFill>
          <bgColor rgb="FFFF000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D5007F"/>
      <color rgb="FF66FF33"/>
      <color rgb="FF950054"/>
      <color rgb="FFB2B2B2"/>
      <color rgb="FF1D1D1B"/>
      <color rgb="FF003300"/>
      <color rgb="FF006600"/>
      <color rgb="FFC0C0C0"/>
      <color rgb="FFED9FFF"/>
      <color rgb="FFFFC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'2b. Matriz Posicionamiento'!$AB$35</c:f>
              <c:strCache>
                <c:ptCount val="1"/>
                <c:pt idx="0">
                  <c:v>Y</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dPt>
            <c:idx val="18"/>
            <c:marker>
              <c:spPr>
                <a:solidFill>
                  <a:schemeClr val="accent1"/>
                </a:solidFill>
                <a:ln w="25400">
                  <a:solidFill>
                    <a:schemeClr val="accent1"/>
                  </a:solidFill>
                </a:ln>
                <a:effectLst/>
              </c:spPr>
            </c:marker>
            <c:bubble3D val="0"/>
            <c:extLst>
              <c:ext xmlns:c16="http://schemas.microsoft.com/office/drawing/2014/chart" uri="{C3380CC4-5D6E-409C-BE32-E72D297353CC}">
                <c16:uniqueId val="{00000000-8C59-4357-AB0E-3CE4B5F3A78E}"/>
              </c:ext>
            </c:extLst>
          </c:dPt>
          <c:xVal>
            <c:numRef>
              <c:f>'2b. Matriz Posicionamiento'!$AC$34:$BM$34</c:f>
              <c:numCache>
                <c:formatCode>General</c:formatCode>
                <c:ptCount val="37"/>
                <c:pt idx="18" formatCode="0.0">
                  <c:v>3.448275862068968</c:v>
                </c:pt>
              </c:numCache>
            </c:numRef>
          </c:xVal>
          <c:yVal>
            <c:numRef>
              <c:f>'2b. Matriz Posicionamiento'!$AC$35:$BM$35</c:f>
              <c:numCache>
                <c:formatCode>General</c:formatCode>
                <c:ptCount val="37"/>
                <c:pt idx="18" formatCode="0.0">
                  <c:v>1.0344827586206904</c:v>
                </c:pt>
              </c:numCache>
            </c:numRef>
          </c:yVal>
          <c:smooth val="0"/>
          <c:extLst>
            <c:ext xmlns:c16="http://schemas.microsoft.com/office/drawing/2014/chart" uri="{C3380CC4-5D6E-409C-BE32-E72D297353CC}">
              <c16:uniqueId val="{00000001-8C59-4357-AB0E-3CE4B5F3A78E}"/>
            </c:ext>
          </c:extLst>
        </c:ser>
        <c:dLbls>
          <c:showLegendKey val="0"/>
          <c:showVal val="0"/>
          <c:showCatName val="0"/>
          <c:showSerName val="0"/>
          <c:showPercent val="0"/>
          <c:showBubbleSize val="0"/>
        </c:dLbls>
        <c:axId val="131474176"/>
        <c:axId val="131475712"/>
      </c:scatterChart>
      <c:valAx>
        <c:axId val="131474176"/>
        <c:scaling>
          <c:orientation val="minMax"/>
          <c:max val="6"/>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475712"/>
        <c:crossesAt val="0"/>
        <c:crossBetween val="midCat"/>
        <c:majorUnit val="3"/>
        <c:minorUnit val="0.60000000000000009"/>
      </c:valAx>
      <c:valAx>
        <c:axId val="131475712"/>
        <c:scaling>
          <c:orientation val="minMax"/>
          <c:max val="12"/>
          <c:min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474176"/>
        <c:crosses val="autoZero"/>
        <c:crossBetween val="midCat"/>
        <c:majorUnit val="6"/>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a. Misi&#243;n, Visi&#243;n'!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b. Pol&#237;tica y Objetivos'!&#193;rea_de_impresi&#243;n"/></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a. An&#225;lisis Foda'!A1"/></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a. An&#225;lisis Foda'!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b. Matriz Posicionamiento'!&#193;rea_de_impresi&#243;n"/></Relationships>
</file>

<file path=xl/drawings/_rels/drawing7.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hyperlink" Target="#'3a.Matr&#237;z de Partes Interesadas'!&#193;rea_de_impresi&#243;n"/><Relationship Id="rId1" Type="http://schemas.openxmlformats.org/officeDocument/2006/relationships/chart" Target="../charts/chart1.xml"/><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b. Matriz - Contexto'!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4b. Gr&#225;ficos Contexto'!A1"/></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314324</xdr:colOff>
      <xdr:row>1</xdr:row>
      <xdr:rowOff>114300</xdr:rowOff>
    </xdr:from>
    <xdr:to>
      <xdr:col>1</xdr:col>
      <xdr:colOff>476249</xdr:colOff>
      <xdr:row>3</xdr:row>
      <xdr:rowOff>123825</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4" y="114300"/>
          <a:ext cx="120967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201084</xdr:colOff>
      <xdr:row>4</xdr:row>
      <xdr:rowOff>0</xdr:rowOff>
    </xdr:from>
    <xdr:to>
      <xdr:col>14</xdr:col>
      <xdr:colOff>734785</xdr:colOff>
      <xdr:row>5</xdr:row>
      <xdr:rowOff>299357</xdr:rowOff>
    </xdr:to>
    <xdr:sp macro="" textlink="">
      <xdr:nvSpPr>
        <xdr:cNvPr id="3" name="Flecha derecha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11324167" y="1322917"/>
          <a:ext cx="1295701" cy="733273"/>
        </a:xfrm>
        <a:prstGeom prst="rightArrow">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latin typeface="Arial" panose="020B0604020202020204" pitchFamily="34" charset="0"/>
              <a:cs typeface="Arial" panose="020B0604020202020204" pitchFamily="34" charset="0"/>
            </a:rPr>
            <a:t>SIGUIENTE</a:t>
          </a:r>
        </a:p>
      </xdr:txBody>
    </xdr:sp>
    <xdr:clientData/>
  </xdr:twoCellAnchor>
  <xdr:twoCellAnchor>
    <xdr:from>
      <xdr:col>0</xdr:col>
      <xdr:colOff>95250</xdr:colOff>
      <xdr:row>4</xdr:row>
      <xdr:rowOff>52917</xdr:rowOff>
    </xdr:from>
    <xdr:to>
      <xdr:col>0</xdr:col>
      <xdr:colOff>1006929</xdr:colOff>
      <xdr:row>5</xdr:row>
      <xdr:rowOff>148166</xdr:rowOff>
    </xdr:to>
    <xdr:sp macro="" textlink="">
      <xdr:nvSpPr>
        <xdr:cNvPr id="2" name="Elipse 1">
          <a:hlinkClick xmlns:r="http://schemas.openxmlformats.org/officeDocument/2006/relationships" r:id="rId2"/>
          <a:extLst>
            <a:ext uri="{FF2B5EF4-FFF2-40B4-BE49-F238E27FC236}">
              <a16:creationId xmlns:a16="http://schemas.microsoft.com/office/drawing/2014/main" id="{00000000-0008-0000-0100-000002000000}"/>
            </a:ext>
          </a:extLst>
        </xdr:cNvPr>
        <xdr:cNvSpPr/>
      </xdr:nvSpPr>
      <xdr:spPr>
        <a:xfrm>
          <a:off x="95250" y="216203"/>
          <a:ext cx="911679" cy="530677"/>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1</xdr:col>
      <xdr:colOff>152400</xdr:colOff>
      <xdr:row>0</xdr:row>
      <xdr:rowOff>200025</xdr:rowOff>
    </xdr:from>
    <xdr:to>
      <xdr:col>2</xdr:col>
      <xdr:colOff>752475</xdr:colOff>
      <xdr:row>2</xdr:row>
      <xdr:rowOff>95250</xdr:rowOff>
    </xdr:to>
    <xdr:pic>
      <xdr:nvPicPr>
        <xdr:cNvPr id="5"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5" y="200025"/>
          <a:ext cx="1314450"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431800</xdr:colOff>
      <xdr:row>4</xdr:row>
      <xdr:rowOff>152400</xdr:rowOff>
    </xdr:from>
    <xdr:to>
      <xdr:col>9</xdr:col>
      <xdr:colOff>1676400</xdr:colOff>
      <xdr:row>6</xdr:row>
      <xdr:rowOff>192617</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21005800" y="152400"/>
          <a:ext cx="1244600" cy="624417"/>
        </a:xfrm>
        <a:prstGeom prst="rightArrow">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539750</xdr:colOff>
      <xdr:row>4</xdr:row>
      <xdr:rowOff>63500</xdr:rowOff>
    </xdr:from>
    <xdr:to>
      <xdr:col>0</xdr:col>
      <xdr:colOff>1606550</xdr:colOff>
      <xdr:row>6</xdr:row>
      <xdr:rowOff>266700</xdr:rowOff>
    </xdr:to>
    <xdr:sp macro="" textlink="">
      <xdr:nvSpPr>
        <xdr:cNvPr id="8" name="Elips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539750" y="63500"/>
          <a:ext cx="1066800" cy="774700"/>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0</xdr:col>
      <xdr:colOff>1535471</xdr:colOff>
      <xdr:row>2</xdr:row>
      <xdr:rowOff>174625</xdr:rowOff>
    </xdr:to>
    <xdr:pic>
      <xdr:nvPicPr>
        <xdr:cNvPr id="6"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279356" cy="563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254000</xdr:colOff>
      <xdr:row>5</xdr:row>
      <xdr:rowOff>79375</xdr:rowOff>
    </xdr:from>
    <xdr:to>
      <xdr:col>14</xdr:col>
      <xdr:colOff>762000</xdr:colOff>
      <xdr:row>6</xdr:row>
      <xdr:rowOff>295275</xdr:rowOff>
    </xdr:to>
    <xdr:sp macro="" textlink="">
      <xdr:nvSpPr>
        <xdr:cNvPr id="10" name="Flecha derecha 9">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11652250" y="460375"/>
          <a:ext cx="1333500" cy="596900"/>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222250</xdr:colOff>
      <xdr:row>5</xdr:row>
      <xdr:rowOff>0</xdr:rowOff>
    </xdr:from>
    <xdr:to>
      <xdr:col>0</xdr:col>
      <xdr:colOff>1212850</xdr:colOff>
      <xdr:row>6</xdr:row>
      <xdr:rowOff>349250</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222250" y="336550"/>
          <a:ext cx="990600" cy="774700"/>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1</xdr:col>
      <xdr:colOff>381000</xdr:colOff>
      <xdr:row>3</xdr:row>
      <xdr:rowOff>127436</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521885" cy="753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254000</xdr:colOff>
      <xdr:row>5</xdr:row>
      <xdr:rowOff>79375</xdr:rowOff>
    </xdr:from>
    <xdr:to>
      <xdr:col>14</xdr:col>
      <xdr:colOff>762000</xdr:colOff>
      <xdr:row>6</xdr:row>
      <xdr:rowOff>295275</xdr:rowOff>
    </xdr:to>
    <xdr:sp macro="" textlink="">
      <xdr:nvSpPr>
        <xdr:cNvPr id="2" name="Flecha derecha 9">
          <a:hlinkClick xmlns:r="http://schemas.openxmlformats.org/officeDocument/2006/relationships" r:id="rId1"/>
          <a:extLst>
            <a:ext uri="{FF2B5EF4-FFF2-40B4-BE49-F238E27FC236}">
              <a16:creationId xmlns:a16="http://schemas.microsoft.com/office/drawing/2014/main" id="{B1C61DD1-E8FD-4C39-BFBD-445AA62D2E9E}"/>
            </a:ext>
          </a:extLst>
        </xdr:cNvPr>
        <xdr:cNvSpPr/>
      </xdr:nvSpPr>
      <xdr:spPr>
        <a:xfrm>
          <a:off x="10788650" y="1270000"/>
          <a:ext cx="1270000" cy="492125"/>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222250</xdr:colOff>
      <xdr:row>5</xdr:row>
      <xdr:rowOff>0</xdr:rowOff>
    </xdr:from>
    <xdr:to>
      <xdr:col>0</xdr:col>
      <xdr:colOff>1212850</xdr:colOff>
      <xdr:row>6</xdr:row>
      <xdr:rowOff>349250</xdr:rowOff>
    </xdr:to>
    <xdr:sp macro="" textlink="">
      <xdr:nvSpPr>
        <xdr:cNvPr id="3" name="Elipse 2">
          <a:hlinkClick xmlns:r="http://schemas.openxmlformats.org/officeDocument/2006/relationships" r:id="rId2"/>
          <a:extLst>
            <a:ext uri="{FF2B5EF4-FFF2-40B4-BE49-F238E27FC236}">
              <a16:creationId xmlns:a16="http://schemas.microsoft.com/office/drawing/2014/main" id="{3E04214B-F4ED-4D11-8461-B7B99DAE0AA9}"/>
            </a:ext>
          </a:extLst>
        </xdr:cNvPr>
        <xdr:cNvSpPr/>
      </xdr:nvSpPr>
      <xdr:spPr>
        <a:xfrm>
          <a:off x="222250" y="1190625"/>
          <a:ext cx="990600" cy="568325"/>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1</xdr:col>
      <xdr:colOff>381000</xdr:colOff>
      <xdr:row>3</xdr:row>
      <xdr:rowOff>127436</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EE8A5225-CC09-45F4-9204-84967D3691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515535" cy="753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23</xdr:col>
      <xdr:colOff>166687</xdr:colOff>
      <xdr:row>6</xdr:row>
      <xdr:rowOff>107156</xdr:rowOff>
    </xdr:from>
    <xdr:to>
      <xdr:col>24</xdr:col>
      <xdr:colOff>304270</xdr:colOff>
      <xdr:row>6</xdr:row>
      <xdr:rowOff>541073</xdr:rowOff>
    </xdr:to>
    <xdr:sp macro="" textlink="">
      <xdr:nvSpPr>
        <xdr:cNvPr id="2" name="Flecha derech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3655337" y="1993106"/>
          <a:ext cx="1185333" cy="43391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304270</xdr:colOff>
      <xdr:row>6</xdr:row>
      <xdr:rowOff>0</xdr:rowOff>
    </xdr:from>
    <xdr:to>
      <xdr:col>0</xdr:col>
      <xdr:colOff>1294870</xdr:colOff>
      <xdr:row>8</xdr:row>
      <xdr:rowOff>126471</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304270" y="1885950"/>
          <a:ext cx="990600" cy="755121"/>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103715</xdr:colOff>
      <xdr:row>0</xdr:row>
      <xdr:rowOff>106892</xdr:rowOff>
    </xdr:from>
    <xdr:to>
      <xdr:col>1</xdr:col>
      <xdr:colOff>1317625</xdr:colOff>
      <xdr:row>4</xdr:row>
      <xdr:rowOff>375087</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715" y="106892"/>
          <a:ext cx="2823635" cy="1639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169471</xdr:colOff>
      <xdr:row>12</xdr:row>
      <xdr:rowOff>96837</xdr:rowOff>
    </xdr:from>
    <xdr:to>
      <xdr:col>23</xdr:col>
      <xdr:colOff>45357</xdr:colOff>
      <xdr:row>28</xdr:row>
      <xdr:rowOff>639536</xdr:rowOff>
    </xdr:to>
    <xdr:grpSp>
      <xdr:nvGrpSpPr>
        <xdr:cNvPr id="2" name="Grupo 1">
          <a:extLst>
            <a:ext uri="{FF2B5EF4-FFF2-40B4-BE49-F238E27FC236}">
              <a16:creationId xmlns:a16="http://schemas.microsoft.com/office/drawing/2014/main" id="{00000000-0008-0000-0500-000002000000}"/>
            </a:ext>
          </a:extLst>
        </xdr:cNvPr>
        <xdr:cNvGrpSpPr/>
      </xdr:nvGrpSpPr>
      <xdr:grpSpPr>
        <a:xfrm>
          <a:off x="2165911" y="3266757"/>
          <a:ext cx="4813646" cy="4215539"/>
          <a:chOff x="1598221" y="2777443"/>
          <a:chExt cx="4543136" cy="4107771"/>
        </a:xfrm>
      </xdr:grpSpPr>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1598221" y="2777443"/>
          <a:ext cx="4543136" cy="410777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ángulo 3">
            <a:extLst>
              <a:ext uri="{FF2B5EF4-FFF2-40B4-BE49-F238E27FC236}">
                <a16:creationId xmlns:a16="http://schemas.microsoft.com/office/drawing/2014/main" id="{00000000-0008-0000-0500-000004000000}"/>
              </a:ext>
            </a:extLst>
          </xdr:cNvPr>
          <xdr:cNvSpPr/>
        </xdr:nvSpPr>
        <xdr:spPr>
          <a:xfrm>
            <a:off x="3878036" y="3875314"/>
            <a:ext cx="105455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5" name="Rectángulo 4">
            <a:extLst>
              <a:ext uri="{FF2B5EF4-FFF2-40B4-BE49-F238E27FC236}">
                <a16:creationId xmlns:a16="http://schemas.microsoft.com/office/drawing/2014/main" id="{00000000-0008-0000-0500-000005000000}"/>
              </a:ext>
            </a:extLst>
          </xdr:cNvPr>
          <xdr:cNvSpPr/>
        </xdr:nvSpPr>
        <xdr:spPr>
          <a:xfrm>
            <a:off x="3878036" y="4827814"/>
            <a:ext cx="105455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6" name="Rectángulo 5">
            <a:extLst>
              <a:ext uri="{FF2B5EF4-FFF2-40B4-BE49-F238E27FC236}">
                <a16:creationId xmlns:a16="http://schemas.microsoft.com/office/drawing/2014/main" id="{00000000-0008-0000-0500-000006000000}"/>
              </a:ext>
            </a:extLst>
          </xdr:cNvPr>
          <xdr:cNvSpPr/>
        </xdr:nvSpPr>
        <xdr:spPr>
          <a:xfrm>
            <a:off x="2827734" y="3867321"/>
            <a:ext cx="104803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7" name="Rectángulo 6">
            <a:extLst>
              <a:ext uri="{FF2B5EF4-FFF2-40B4-BE49-F238E27FC236}">
                <a16:creationId xmlns:a16="http://schemas.microsoft.com/office/drawing/2014/main" id="{00000000-0008-0000-0500-000007000000}"/>
              </a:ext>
            </a:extLst>
          </xdr:cNvPr>
          <xdr:cNvSpPr/>
        </xdr:nvSpPr>
        <xdr:spPr>
          <a:xfrm>
            <a:off x="2827734" y="4827814"/>
            <a:ext cx="104803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A</a:t>
            </a:r>
          </a:p>
        </xdr:txBody>
      </xdr:sp>
      <xdr:sp macro="" textlink="">
        <xdr:nvSpPr>
          <xdr:cNvPr id="8" name="Rectángulo 7">
            <a:extLst>
              <a:ext uri="{FF2B5EF4-FFF2-40B4-BE49-F238E27FC236}">
                <a16:creationId xmlns:a16="http://schemas.microsoft.com/office/drawing/2014/main" id="{00000000-0008-0000-0500-000008000000}"/>
              </a:ext>
            </a:extLst>
          </xdr:cNvPr>
          <xdr:cNvSpPr/>
        </xdr:nvSpPr>
        <xdr:spPr>
          <a:xfrm>
            <a:off x="4929708" y="3874813"/>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9" name="Rectángulo 8">
            <a:extLst>
              <a:ext uri="{FF2B5EF4-FFF2-40B4-BE49-F238E27FC236}">
                <a16:creationId xmlns:a16="http://schemas.microsoft.com/office/drawing/2014/main" id="{00000000-0008-0000-0500-000009000000}"/>
              </a:ext>
            </a:extLst>
          </xdr:cNvPr>
          <xdr:cNvSpPr/>
        </xdr:nvSpPr>
        <xdr:spPr>
          <a:xfrm>
            <a:off x="3878036" y="2918732"/>
            <a:ext cx="1054553"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0" name="Rectángulo 9">
            <a:extLst>
              <a:ext uri="{FF2B5EF4-FFF2-40B4-BE49-F238E27FC236}">
                <a16:creationId xmlns:a16="http://schemas.microsoft.com/office/drawing/2014/main" id="{00000000-0008-0000-0500-00000A000000}"/>
              </a:ext>
            </a:extLst>
          </xdr:cNvPr>
          <xdr:cNvSpPr/>
        </xdr:nvSpPr>
        <xdr:spPr>
          <a:xfrm>
            <a:off x="4931230" y="2921453"/>
            <a:ext cx="1037318" cy="951479"/>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1" name="Rectángulo 10">
            <a:extLst>
              <a:ext uri="{FF2B5EF4-FFF2-40B4-BE49-F238E27FC236}">
                <a16:creationId xmlns:a16="http://schemas.microsoft.com/office/drawing/2014/main" id="{00000000-0008-0000-0500-00000B000000}"/>
              </a:ext>
            </a:extLst>
          </xdr:cNvPr>
          <xdr:cNvSpPr/>
        </xdr:nvSpPr>
        <xdr:spPr>
          <a:xfrm>
            <a:off x="4931310" y="4833087"/>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2" name="Rectángulo 11">
            <a:extLst>
              <a:ext uri="{FF2B5EF4-FFF2-40B4-BE49-F238E27FC236}">
                <a16:creationId xmlns:a16="http://schemas.microsoft.com/office/drawing/2014/main" id="{00000000-0008-0000-0500-00000C000000}"/>
              </a:ext>
            </a:extLst>
          </xdr:cNvPr>
          <xdr:cNvSpPr/>
        </xdr:nvSpPr>
        <xdr:spPr>
          <a:xfrm>
            <a:off x="1789341" y="3878035"/>
            <a:ext cx="1038393"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3" name="Rectángulo 12">
            <a:extLst>
              <a:ext uri="{FF2B5EF4-FFF2-40B4-BE49-F238E27FC236}">
                <a16:creationId xmlns:a16="http://schemas.microsoft.com/office/drawing/2014/main" id="{00000000-0008-0000-0500-00000D000000}"/>
              </a:ext>
            </a:extLst>
          </xdr:cNvPr>
          <xdr:cNvSpPr/>
        </xdr:nvSpPr>
        <xdr:spPr>
          <a:xfrm>
            <a:off x="1788489" y="4830534"/>
            <a:ext cx="1039245"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B</a:t>
            </a:r>
          </a:p>
        </xdr:txBody>
      </xdr:sp>
      <xdr:sp macro="" textlink="">
        <xdr:nvSpPr>
          <xdr:cNvPr id="14" name="Rectángulo 13">
            <a:extLst>
              <a:ext uri="{FF2B5EF4-FFF2-40B4-BE49-F238E27FC236}">
                <a16:creationId xmlns:a16="http://schemas.microsoft.com/office/drawing/2014/main" id="{00000000-0008-0000-0500-00000E000000}"/>
              </a:ext>
            </a:extLst>
          </xdr:cNvPr>
          <xdr:cNvSpPr/>
        </xdr:nvSpPr>
        <xdr:spPr>
          <a:xfrm>
            <a:off x="2830285" y="2921454"/>
            <a:ext cx="1046391"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5" name="Rectángulo 14">
            <a:extLst>
              <a:ext uri="{FF2B5EF4-FFF2-40B4-BE49-F238E27FC236}">
                <a16:creationId xmlns:a16="http://schemas.microsoft.com/office/drawing/2014/main" id="{00000000-0008-0000-0500-00000F000000}"/>
              </a:ext>
            </a:extLst>
          </xdr:cNvPr>
          <xdr:cNvSpPr/>
        </xdr:nvSpPr>
        <xdr:spPr>
          <a:xfrm>
            <a:off x="1789582" y="2919053"/>
            <a:ext cx="1037316" cy="959304"/>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6" name="Rectángulo 15">
            <a:extLst>
              <a:ext uri="{FF2B5EF4-FFF2-40B4-BE49-F238E27FC236}">
                <a16:creationId xmlns:a16="http://schemas.microsoft.com/office/drawing/2014/main" id="{00000000-0008-0000-0500-000010000000}"/>
              </a:ext>
            </a:extLst>
          </xdr:cNvPr>
          <xdr:cNvSpPr/>
        </xdr:nvSpPr>
        <xdr:spPr>
          <a:xfrm>
            <a:off x="3878038" y="5783039"/>
            <a:ext cx="1054553"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7" name="Rectángulo 16">
            <a:extLst>
              <a:ext uri="{FF2B5EF4-FFF2-40B4-BE49-F238E27FC236}">
                <a16:creationId xmlns:a16="http://schemas.microsoft.com/office/drawing/2014/main" id="{00000000-0008-0000-0500-000011000000}"/>
              </a:ext>
            </a:extLst>
          </xdr:cNvPr>
          <xdr:cNvSpPr/>
        </xdr:nvSpPr>
        <xdr:spPr>
          <a:xfrm>
            <a:off x="2827734" y="5783036"/>
            <a:ext cx="1050300"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D</a:t>
            </a:r>
          </a:p>
        </xdr:txBody>
      </xdr:sp>
      <xdr:sp macro="" textlink="">
        <xdr:nvSpPr>
          <xdr:cNvPr id="18" name="Rectángulo 17">
            <a:extLst>
              <a:ext uri="{FF2B5EF4-FFF2-40B4-BE49-F238E27FC236}">
                <a16:creationId xmlns:a16="http://schemas.microsoft.com/office/drawing/2014/main" id="{00000000-0008-0000-0500-000012000000}"/>
              </a:ext>
            </a:extLst>
          </xdr:cNvPr>
          <xdr:cNvSpPr/>
        </xdr:nvSpPr>
        <xdr:spPr>
          <a:xfrm>
            <a:off x="4932588" y="5783035"/>
            <a:ext cx="1037318"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sp macro="" textlink="">
        <xdr:nvSpPr>
          <xdr:cNvPr id="19" name="Rectángulo 18">
            <a:extLst>
              <a:ext uri="{FF2B5EF4-FFF2-40B4-BE49-F238E27FC236}">
                <a16:creationId xmlns:a16="http://schemas.microsoft.com/office/drawing/2014/main" id="{00000000-0008-0000-0500-000013000000}"/>
              </a:ext>
            </a:extLst>
          </xdr:cNvPr>
          <xdr:cNvSpPr/>
        </xdr:nvSpPr>
        <xdr:spPr>
          <a:xfrm>
            <a:off x="1789341" y="5783035"/>
            <a:ext cx="1038393"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t>C</a:t>
            </a:r>
          </a:p>
        </xdr:txBody>
      </xdr:sp>
    </xdr:grpSp>
    <xdr:clientData/>
  </xdr:twoCellAnchor>
  <xdr:twoCellAnchor>
    <xdr:from>
      <xdr:col>67</xdr:col>
      <xdr:colOff>40821</xdr:colOff>
      <xdr:row>8</xdr:row>
      <xdr:rowOff>190500</xdr:rowOff>
    </xdr:from>
    <xdr:to>
      <xdr:col>68</xdr:col>
      <xdr:colOff>381000</xdr:colOff>
      <xdr:row>10</xdr:row>
      <xdr:rowOff>175382</xdr:rowOff>
    </xdr:to>
    <xdr:sp macro="" textlink="">
      <xdr:nvSpPr>
        <xdr:cNvPr id="20" name="Flecha derecha 19">
          <a:hlinkClick xmlns:r="http://schemas.openxmlformats.org/officeDocument/2006/relationships" r:id="rId2"/>
          <a:extLst>
            <a:ext uri="{FF2B5EF4-FFF2-40B4-BE49-F238E27FC236}">
              <a16:creationId xmlns:a16="http://schemas.microsoft.com/office/drawing/2014/main" id="{00000000-0008-0000-0500-000014000000}"/>
            </a:ext>
          </a:extLst>
        </xdr:cNvPr>
        <xdr:cNvSpPr/>
      </xdr:nvSpPr>
      <xdr:spPr>
        <a:xfrm>
          <a:off x="18071646" y="2438400"/>
          <a:ext cx="1187904" cy="41350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108858</xdr:colOff>
      <xdr:row>8</xdr:row>
      <xdr:rowOff>0</xdr:rowOff>
    </xdr:from>
    <xdr:to>
      <xdr:col>0</xdr:col>
      <xdr:colOff>1099458</xdr:colOff>
      <xdr:row>11</xdr:row>
      <xdr:rowOff>111352</xdr:rowOff>
    </xdr:to>
    <xdr:sp macro="" textlink="">
      <xdr:nvSpPr>
        <xdr:cNvPr id="21" name="Elipse 20">
          <a:hlinkClick xmlns:r="http://schemas.openxmlformats.org/officeDocument/2006/relationships" r:id="rId3"/>
          <a:extLst>
            <a:ext uri="{FF2B5EF4-FFF2-40B4-BE49-F238E27FC236}">
              <a16:creationId xmlns:a16="http://schemas.microsoft.com/office/drawing/2014/main" id="{00000000-0008-0000-0500-000015000000}"/>
            </a:ext>
          </a:extLst>
        </xdr:cNvPr>
        <xdr:cNvSpPr/>
      </xdr:nvSpPr>
      <xdr:spPr>
        <a:xfrm>
          <a:off x="108858" y="2247900"/>
          <a:ext cx="990600" cy="740002"/>
        </a:xfrm>
        <a:prstGeom prst="ellipse">
          <a:avLst/>
        </a:prstGeom>
        <a:solidFill>
          <a:srgbClr val="D5007F"/>
        </a:solidFill>
        <a:ln w="28575">
          <a:solidFill>
            <a:srgbClr val="B2B2B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103715</xdr:colOff>
      <xdr:row>0</xdr:row>
      <xdr:rowOff>106893</xdr:rowOff>
    </xdr:from>
    <xdr:to>
      <xdr:col>7</xdr:col>
      <xdr:colOff>214313</xdr:colOff>
      <xdr:row>4</xdr:row>
      <xdr:rowOff>327914</xdr:rowOff>
    </xdr:to>
    <xdr:pic>
      <xdr:nvPicPr>
        <xdr:cNvPr id="2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715" y="106893"/>
          <a:ext cx="2777598" cy="1592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245230</xdr:colOff>
      <xdr:row>0</xdr:row>
      <xdr:rowOff>128664</xdr:rowOff>
    </xdr:from>
    <xdr:to>
      <xdr:col>1</xdr:col>
      <xdr:colOff>514350</xdr:colOff>
      <xdr:row>4</xdr:row>
      <xdr:rowOff>320711</xdr:rowOff>
    </xdr:to>
    <xdr:pic>
      <xdr:nvPicPr>
        <xdr:cNvPr id="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5230" y="128664"/>
          <a:ext cx="2231270" cy="156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11</xdr:col>
      <xdr:colOff>275166</xdr:colOff>
      <xdr:row>7</xdr:row>
      <xdr:rowOff>137583</xdr:rowOff>
    </xdr:from>
    <xdr:to>
      <xdr:col>12</xdr:col>
      <xdr:colOff>571500</xdr:colOff>
      <xdr:row>9</xdr:row>
      <xdr:rowOff>74083</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18309166" y="1545166"/>
          <a:ext cx="1058334" cy="43391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t>SIGUIENTE</a:t>
          </a:r>
        </a:p>
      </xdr:txBody>
    </xdr:sp>
    <xdr:clientData/>
  </xdr:twoCellAnchor>
  <xdr:twoCellAnchor>
    <xdr:from>
      <xdr:col>0</xdr:col>
      <xdr:colOff>673553</xdr:colOff>
      <xdr:row>0</xdr:row>
      <xdr:rowOff>54429</xdr:rowOff>
    </xdr:from>
    <xdr:to>
      <xdr:col>2</xdr:col>
      <xdr:colOff>503464</xdr:colOff>
      <xdr:row>5</xdr:row>
      <xdr:rowOff>124963</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553" y="54429"/>
          <a:ext cx="2238375" cy="109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21</xdr:col>
      <xdr:colOff>222251</xdr:colOff>
      <xdr:row>6</xdr:row>
      <xdr:rowOff>211666</xdr:rowOff>
    </xdr:from>
    <xdr:to>
      <xdr:col>22</xdr:col>
      <xdr:colOff>518585</xdr:colOff>
      <xdr:row>9</xdr:row>
      <xdr:rowOff>190500</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31220834" y="1418166"/>
          <a:ext cx="1058334" cy="433917"/>
        </a:xfrm>
        <a:prstGeom prst="rightArrow">
          <a:avLst/>
        </a:prstGeom>
        <a:solidFill>
          <a:srgbClr val="D5007F"/>
        </a:solidFill>
        <a:ln>
          <a:solidFill>
            <a:srgbClr val="00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t>SIGUIENTE</a:t>
          </a:r>
        </a:p>
      </xdr:txBody>
    </xdr:sp>
    <xdr:clientData/>
  </xdr:twoCellAnchor>
  <xdr:twoCellAnchor>
    <xdr:from>
      <xdr:col>0</xdr:col>
      <xdr:colOff>83127</xdr:colOff>
      <xdr:row>1</xdr:row>
      <xdr:rowOff>45342</xdr:rowOff>
    </xdr:from>
    <xdr:to>
      <xdr:col>0</xdr:col>
      <xdr:colOff>1962727</xdr:colOff>
      <xdr:row>6</xdr:row>
      <xdr:rowOff>159642</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127" y="226710"/>
          <a:ext cx="1879600" cy="1058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cuevas/Documents/Enrique/Planeaci&#243;n%20para%20ISO%209001%20-%202015/Plan%20Estrat&#233;gico%20del%20Negoc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FODA%20DE%20AGUASCALIEN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icha/Desktop/PLAN%20ESTRAT&#201;GICO%20DE%20LA%20INSTITUCI&#211;N%20JLE%20GUANAJUA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ppData/Local/Microsoft/Windows/Temporary%20Internet%20Files/Content.Outlook/1Q69SHO0/Matriz%20de%20An&#225;lisis%20de%20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
      <sheetName val="INTRO"/>
      <sheetName val="1"/>
      <sheetName val="1a"/>
      <sheetName val="2"/>
      <sheetName val="2a"/>
      <sheetName val="2b"/>
      <sheetName val="3"/>
      <sheetName val="3a"/>
      <sheetName val="3b"/>
      <sheetName val="3c"/>
      <sheetName val="4"/>
      <sheetName val="4a"/>
      <sheetName val="5"/>
      <sheetName val="5a"/>
      <sheetName val="6"/>
      <sheetName val="6a"/>
      <sheetName val="6b"/>
      <sheetName val="7"/>
      <sheetName val="7a"/>
      <sheetName val="7b"/>
      <sheetName val="CÁLCULOS"/>
    </sheetNames>
    <sheetDataSet>
      <sheetData sheetId="0">
        <row r="20">
          <cell r="J20" t="str">
            <v>MI EMPRESA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2">
          <cell r="B22">
            <v>1</v>
          </cell>
        </row>
        <row r="23">
          <cell r="B23">
            <v>2</v>
          </cell>
        </row>
        <row r="24">
          <cell r="B24">
            <v>3</v>
          </cell>
        </row>
        <row r="25">
          <cell r="B25">
            <v>4</v>
          </cell>
        </row>
        <row r="26">
          <cell r="B26">
            <v>5</v>
          </cell>
        </row>
        <row r="29">
          <cell r="B29">
            <v>1</v>
          </cell>
        </row>
        <row r="30">
          <cell r="B30">
            <v>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INTRO"/>
      <sheetName val="1a. Misión, Visión"/>
      <sheetName val="1b. Política y Objetivos"/>
      <sheetName val="Perfiles"/>
      <sheetName val="2a. Análisis Foda"/>
      <sheetName val="2b. Matriz Posicionamiento"/>
    </sheetNames>
    <sheetDataSet>
      <sheetData sheetId="0"/>
      <sheetData sheetId="1"/>
      <sheetData sheetId="2"/>
      <sheetData sheetId="3"/>
      <sheetData sheetId="4">
        <row r="3">
          <cell r="C3" t="str">
            <v>a</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INTRO"/>
      <sheetName val="1a. Misión, Visión"/>
      <sheetName val="1b. Política y Objetivos"/>
      <sheetName val="1c. Alcance del SGC"/>
      <sheetName val="2a. Análisis Foda"/>
      <sheetName val="2b. Matriz Posicionamiento"/>
      <sheetName val="3a.Matríz de Partes Interesadas"/>
      <sheetName val="4a. Parámetros de riesgo"/>
      <sheetName val="4b. Matriz - Contexto"/>
      <sheetName val="Perfiles"/>
      <sheetName val="Ponderación"/>
    </sheetNames>
    <sheetDataSet>
      <sheetData sheetId="0"/>
      <sheetData sheetId="1"/>
      <sheetData sheetId="2"/>
      <sheetData sheetId="3"/>
      <sheetData sheetId="4"/>
      <sheetData sheetId="5"/>
      <sheetData sheetId="6"/>
      <sheetData sheetId="7"/>
      <sheetData sheetId="8"/>
      <sheetData sheetId="9"/>
      <sheetData sheetId="10"/>
      <sheetData sheetId="11">
        <row r="2">
          <cell r="A2" t="str">
            <v>Político</v>
          </cell>
          <cell r="B2">
            <v>5</v>
          </cell>
          <cell r="D2" t="str">
            <v>Baja</v>
          </cell>
          <cell r="E2">
            <v>1</v>
          </cell>
          <cell r="G2" t="str">
            <v>Menor</v>
          </cell>
          <cell r="H2">
            <v>1</v>
          </cell>
        </row>
        <row r="3">
          <cell r="A3" t="str">
            <v>Industrial</v>
          </cell>
          <cell r="B3">
            <v>5</v>
          </cell>
          <cell r="D3" t="str">
            <v>Media</v>
          </cell>
          <cell r="E3">
            <v>7</v>
          </cell>
          <cell r="G3" t="str">
            <v>Moderado</v>
          </cell>
          <cell r="H3">
            <v>7</v>
          </cell>
        </row>
        <row r="4">
          <cell r="A4" t="str">
            <v>Operativo</v>
          </cell>
          <cell r="B4">
            <v>10</v>
          </cell>
          <cell r="D4" t="str">
            <v>Alta</v>
          </cell>
          <cell r="E4">
            <v>10</v>
          </cell>
          <cell r="G4" t="str">
            <v>Grave</v>
          </cell>
          <cell r="H4">
            <v>10</v>
          </cell>
        </row>
        <row r="5">
          <cell r="A5" t="str">
            <v>Institucional</v>
          </cell>
          <cell r="B5">
            <v>8</v>
          </cell>
          <cell r="G5" t="str">
            <v>Importante</v>
          </cell>
          <cell r="H5">
            <v>10</v>
          </cell>
        </row>
        <row r="6">
          <cell r="A6" t="str">
            <v>Financiera</v>
          </cell>
          <cell r="B6">
            <v>7</v>
          </cell>
        </row>
        <row r="7">
          <cell r="A7" t="str">
            <v>Ambiental</v>
          </cell>
          <cell r="B7">
            <v>8</v>
          </cell>
        </row>
        <row r="8">
          <cell r="A8" t="str">
            <v>Legal y Reglamentario</v>
          </cell>
          <cell r="B8">
            <v>9</v>
          </cell>
        </row>
        <row r="9">
          <cell r="A9" t="str">
            <v>Salud</v>
          </cell>
          <cell r="B9">
            <v>10</v>
          </cell>
        </row>
        <row r="10">
          <cell r="A10" t="str">
            <v>Social/Cultural</v>
          </cell>
          <cell r="B10">
            <v>6</v>
          </cell>
        </row>
        <row r="11">
          <cell r="A11" t="str">
            <v>Tecnológicos</v>
          </cell>
          <cell r="B11">
            <v>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eració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SANCHEZ SANCHEZ RICARDO" id="{932159B9-BE9A-41AD-B6C3-48977EE3C088}" userId="SANCHEZ SANCHEZ RICARDO"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4" dT="2021-05-18T22:48:14.80" personId="{932159B9-BE9A-41AD-B6C3-48977EE3C088}" id="{AE11CE26-BD75-4CDB-9BAA-D38D84632F2A}">
    <text>Colocar todos los Modulos fijos y fijos adicionales de la Entidad</text>
  </threadedComment>
  <threadedComment ref="E24" dT="2021-05-18T22:49:01.24" personId="{932159B9-BE9A-41AD-B6C3-48977EE3C088}" id="{F426974C-9707-4AB0-95AF-4A91944499DE}">
    <text>Colocar dirección de modulos fijos y fijos adicionales</text>
  </threadedComment>
  <threadedComment ref="B47" dT="2021-05-18T22:50:36.68" personId="{932159B9-BE9A-41AD-B6C3-48977EE3C088}" id="{B8132A9E-6CA5-4D7C-AFD6-27F8CC6481B9}">
    <text>Colocar los módulos semifijos de la entidad</text>
  </threadedComment>
  <threadedComment ref="B48" dT="2021-05-18T22:51:28.92" personId="{932159B9-BE9A-41AD-B6C3-48977EE3C088}" id="{564F569F-7F78-430C-ACCE-1D6369E610EE}">
    <text>Colocar los módulos moviles de la entidad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147"/>
  <sheetViews>
    <sheetView showGridLines="0" showZeros="0" showOutlineSymbols="0" topLeftCell="A2" zoomScale="70" zoomScaleNormal="70" zoomScaleSheetLayoutView="100" zoomScalePageLayoutView="70" workbookViewId="0">
      <selection activeCell="F26" sqref="F26:H26"/>
    </sheetView>
  </sheetViews>
  <sheetFormatPr baseColWidth="10" defaultColWidth="11.44140625" defaultRowHeight="13.2" x14ac:dyDescent="0.25"/>
  <cols>
    <col min="1" max="2" width="17.33203125" style="23" customWidth="1"/>
    <col min="3" max="3" width="2.33203125" style="23" customWidth="1"/>
    <col min="4" max="5" width="17.33203125" style="23" customWidth="1"/>
    <col min="6" max="6" width="2.33203125" style="23" customWidth="1"/>
    <col min="7" max="8" width="17.33203125" style="23" customWidth="1"/>
    <col min="9" max="9" width="2.33203125" style="23" customWidth="1"/>
    <col min="10" max="11" width="17.33203125" style="23" customWidth="1"/>
    <col min="12" max="12" width="3.109375" style="23" customWidth="1"/>
    <col min="13" max="13" width="4.6640625" style="24" customWidth="1"/>
    <col min="14" max="14" width="1.6640625" style="24" customWidth="1"/>
    <col min="15" max="15" width="6.5546875" style="24" customWidth="1"/>
    <col min="16" max="16" width="19.44140625" style="24" customWidth="1"/>
    <col min="17" max="16384" width="11.44140625" style="23"/>
  </cols>
  <sheetData>
    <row r="1" spans="1:54" ht="13.8" thickBot="1" x14ac:dyDescent="0.3"/>
    <row r="2" spans="1:54" s="116" customFormat="1" ht="30" customHeight="1" thickBot="1" x14ac:dyDescent="0.3">
      <c r="A2" s="369"/>
      <c r="B2" s="369"/>
      <c r="C2" s="370" t="s">
        <v>277</v>
      </c>
      <c r="D2" s="370"/>
      <c r="E2" s="370"/>
      <c r="F2" s="370"/>
      <c r="G2" s="370"/>
      <c r="H2" s="370"/>
      <c r="I2" s="370"/>
      <c r="J2" s="370"/>
      <c r="K2" s="371" t="s">
        <v>340</v>
      </c>
      <c r="L2" s="371"/>
    </row>
    <row r="3" spans="1:54" s="116" customFormat="1" ht="21" customHeight="1" thickBot="1" x14ac:dyDescent="0.3">
      <c r="A3" s="369"/>
      <c r="B3" s="369"/>
      <c r="C3" s="370" t="s">
        <v>177</v>
      </c>
      <c r="D3" s="370"/>
      <c r="E3" s="370"/>
      <c r="F3" s="370"/>
      <c r="G3" s="370"/>
      <c r="H3" s="370"/>
      <c r="I3" s="370"/>
      <c r="J3" s="370"/>
      <c r="K3" s="372" t="s">
        <v>178</v>
      </c>
      <c r="L3" s="372"/>
    </row>
    <row r="4" spans="1:54" s="116" customFormat="1" ht="15" customHeight="1" thickBot="1" x14ac:dyDescent="0.3">
      <c r="A4" s="369"/>
      <c r="B4" s="369"/>
      <c r="C4" s="373" t="s">
        <v>137</v>
      </c>
      <c r="D4" s="373"/>
      <c r="E4" s="373"/>
      <c r="F4" s="373"/>
      <c r="G4" s="373"/>
      <c r="H4" s="373"/>
      <c r="I4" s="373"/>
      <c r="J4" s="373"/>
      <c r="K4" s="374">
        <v>44279</v>
      </c>
      <c r="L4" s="374"/>
    </row>
    <row r="5" spans="1:54" s="116" customFormat="1" ht="15" customHeight="1" x14ac:dyDescent="0.25">
      <c r="A5" s="210"/>
      <c r="B5" s="210"/>
      <c r="C5" s="211"/>
      <c r="D5" s="211"/>
      <c r="E5" s="211"/>
      <c r="F5" s="211"/>
      <c r="G5" s="211"/>
      <c r="H5" s="211"/>
      <c r="I5" s="211"/>
      <c r="J5" s="211"/>
      <c r="K5" s="212"/>
      <c r="L5" s="212"/>
    </row>
    <row r="6" spans="1:54" ht="18" customHeight="1" x14ac:dyDescent="0.25">
      <c r="A6" s="378"/>
      <c r="B6" s="378"/>
      <c r="C6" s="378"/>
      <c r="D6" s="378"/>
      <c r="E6" s="378"/>
      <c r="F6" s="378"/>
      <c r="G6" s="378"/>
      <c r="H6" s="378"/>
      <c r="I6" s="378"/>
      <c r="J6" s="378"/>
      <c r="K6" s="378"/>
      <c r="L6" s="378"/>
      <c r="M6" s="20"/>
      <c r="N6" s="8"/>
      <c r="O6" s="8"/>
      <c r="P6" s="7"/>
      <c r="Q6" s="9"/>
      <c r="R6" s="9"/>
      <c r="S6" s="9"/>
      <c r="T6" s="9"/>
      <c r="U6" s="9"/>
      <c r="V6" s="9"/>
      <c r="W6" s="9"/>
      <c r="X6" s="9"/>
      <c r="Y6" s="9"/>
      <c r="Z6" s="9"/>
      <c r="AA6" s="9"/>
      <c r="AB6" s="9"/>
      <c r="AC6" s="9"/>
      <c r="AD6" s="9"/>
      <c r="AE6" s="9"/>
      <c r="AF6" s="9"/>
      <c r="AG6" s="9"/>
      <c r="AH6" s="9"/>
      <c r="AI6" s="9"/>
      <c r="AJ6" s="9"/>
      <c r="AK6" s="9"/>
      <c r="AL6" s="9"/>
      <c r="AM6" s="21"/>
      <c r="AN6" s="21"/>
      <c r="AO6" s="21"/>
      <c r="AP6" s="21"/>
      <c r="AQ6" s="21"/>
      <c r="AR6" s="21"/>
      <c r="AS6" s="21"/>
      <c r="AT6" s="21"/>
      <c r="AU6" s="21"/>
      <c r="AV6" s="21"/>
      <c r="AW6" s="21"/>
      <c r="AX6" s="22"/>
      <c r="AY6" s="22"/>
      <c r="AZ6" s="22"/>
      <c r="BA6" s="22"/>
      <c r="BB6" s="22"/>
    </row>
    <row r="7" spans="1:54" ht="18" customHeight="1" x14ac:dyDescent="0.25">
      <c r="A7" s="379"/>
      <c r="B7" s="379"/>
      <c r="C7" s="379"/>
      <c r="D7" s="379"/>
      <c r="E7" s="379"/>
      <c r="F7" s="379"/>
      <c r="G7" s="379"/>
      <c r="H7" s="379"/>
      <c r="I7" s="379"/>
      <c r="J7" s="379"/>
      <c r="K7" s="379"/>
      <c r="L7" s="379"/>
      <c r="M7" s="20"/>
      <c r="N7" s="8"/>
      <c r="O7" s="8"/>
      <c r="P7" s="7"/>
      <c r="Q7" s="9"/>
      <c r="R7" s="9"/>
      <c r="S7" s="9"/>
      <c r="T7" s="9"/>
      <c r="U7" s="9"/>
      <c r="V7" s="9"/>
      <c r="W7" s="9"/>
      <c r="X7" s="9"/>
      <c r="Y7" s="9"/>
      <c r="Z7" s="9"/>
      <c r="AA7" s="9"/>
      <c r="AB7" s="9"/>
      <c r="AC7" s="9"/>
      <c r="AD7" s="9"/>
      <c r="AE7" s="9"/>
      <c r="AF7" s="9"/>
      <c r="AG7" s="9"/>
      <c r="AH7" s="9"/>
      <c r="AI7" s="9"/>
      <c r="AJ7" s="9"/>
      <c r="AK7" s="9"/>
      <c r="AL7" s="9"/>
      <c r="AM7" s="21"/>
      <c r="AN7" s="21"/>
      <c r="AO7" s="21"/>
      <c r="AP7" s="21"/>
      <c r="AQ7" s="21"/>
      <c r="AR7" s="21"/>
      <c r="AS7" s="21"/>
      <c r="AT7" s="21"/>
      <c r="AU7" s="21"/>
      <c r="AV7" s="21"/>
      <c r="AW7" s="21"/>
      <c r="AX7" s="22"/>
      <c r="AY7" s="22"/>
      <c r="AZ7" s="22"/>
      <c r="BA7" s="22"/>
      <c r="BB7" s="22"/>
    </row>
    <row r="8" spans="1:54" ht="30" customHeight="1" x14ac:dyDescent="0.25">
      <c r="A8" s="37"/>
      <c r="B8" s="37"/>
      <c r="C8" s="37"/>
      <c r="D8" s="37"/>
      <c r="E8" s="37"/>
      <c r="F8" s="37"/>
      <c r="G8" s="37"/>
      <c r="H8" s="37"/>
      <c r="I8" s="37"/>
      <c r="J8" s="37"/>
      <c r="K8" s="37"/>
      <c r="L8" s="37"/>
      <c r="M8" s="7"/>
      <c r="N8" s="8"/>
      <c r="O8" s="8"/>
      <c r="P8" s="23"/>
      <c r="R8" s="9"/>
      <c r="S8" s="9"/>
      <c r="T8" s="9"/>
      <c r="U8" s="9"/>
      <c r="V8" s="9"/>
      <c r="W8" s="9"/>
      <c r="X8" s="9"/>
      <c r="Y8" s="9"/>
      <c r="Z8" s="9"/>
      <c r="AA8" s="9"/>
      <c r="AB8" s="9"/>
      <c r="AC8" s="9"/>
      <c r="AD8" s="9"/>
      <c r="AE8" s="9"/>
      <c r="AF8" s="9"/>
      <c r="AG8" s="9"/>
      <c r="AH8" s="9"/>
      <c r="AI8" s="9"/>
      <c r="AJ8" s="9"/>
      <c r="AK8" s="9"/>
      <c r="AL8" s="9"/>
      <c r="AM8" s="21"/>
      <c r="AN8" s="21"/>
      <c r="AO8" s="21"/>
      <c r="AP8" s="21"/>
      <c r="AQ8" s="21"/>
      <c r="AR8" s="21"/>
      <c r="AS8" s="21"/>
      <c r="AT8" s="21"/>
      <c r="AU8" s="21"/>
      <c r="AV8" s="21"/>
      <c r="AW8" s="21"/>
      <c r="AX8" s="22"/>
      <c r="AY8" s="22"/>
      <c r="AZ8" s="22"/>
      <c r="BA8" s="22"/>
      <c r="BB8" s="22"/>
    </row>
    <row r="9" spans="1:54" ht="30" customHeight="1" x14ac:dyDescent="0.25">
      <c r="A9" s="375" t="s">
        <v>136</v>
      </c>
      <c r="B9" s="375"/>
      <c r="C9" s="38"/>
      <c r="D9" s="375" t="s">
        <v>139</v>
      </c>
      <c r="E9" s="375"/>
      <c r="F9" s="75"/>
      <c r="G9" s="375" t="s">
        <v>120</v>
      </c>
      <c r="H9" s="375"/>
      <c r="I9" s="38"/>
      <c r="J9" s="375" t="s">
        <v>204</v>
      </c>
      <c r="K9" s="375"/>
      <c r="L9" s="39"/>
      <c r="M9" s="10"/>
      <c r="N9" s="11"/>
      <c r="O9" s="11"/>
      <c r="P9" s="23"/>
      <c r="R9" s="12"/>
      <c r="S9" s="12"/>
      <c r="T9" s="12"/>
      <c r="U9" s="12"/>
      <c r="V9" s="12"/>
      <c r="W9" s="12"/>
      <c r="X9" s="12"/>
      <c r="Y9" s="12"/>
      <c r="Z9" s="12"/>
      <c r="AA9" s="12"/>
      <c r="AB9" s="12"/>
      <c r="AC9" s="12"/>
      <c r="AD9" s="12"/>
      <c r="AE9" s="12"/>
      <c r="AF9" s="12"/>
      <c r="AG9" s="12"/>
      <c r="AH9" s="12"/>
      <c r="AI9" s="12"/>
      <c r="AJ9" s="12"/>
      <c r="AK9" s="12"/>
      <c r="AL9" s="12"/>
      <c r="AM9" s="10"/>
      <c r="AN9" s="10"/>
      <c r="AO9" s="10"/>
      <c r="AP9" s="10"/>
      <c r="AQ9" s="10"/>
      <c r="AR9" s="10"/>
      <c r="AS9" s="10"/>
      <c r="AT9" s="10"/>
      <c r="AU9" s="10"/>
      <c r="AV9" s="10"/>
      <c r="AW9" s="10"/>
      <c r="AX9" s="22"/>
      <c r="AY9" s="22"/>
      <c r="AZ9" s="22"/>
      <c r="BA9" s="22"/>
      <c r="BB9" s="22"/>
    </row>
    <row r="10" spans="1:54" ht="30" customHeight="1" x14ac:dyDescent="0.25">
      <c r="A10" s="376" t="s">
        <v>135</v>
      </c>
      <c r="B10" s="377"/>
      <c r="C10" s="71"/>
      <c r="D10" s="376" t="s">
        <v>193</v>
      </c>
      <c r="E10" s="377"/>
      <c r="F10" s="41"/>
      <c r="G10" s="381" t="s">
        <v>195</v>
      </c>
      <c r="H10" s="381"/>
      <c r="I10" s="42"/>
      <c r="J10" s="381" t="s">
        <v>205</v>
      </c>
      <c r="K10" s="381"/>
      <c r="L10" s="37"/>
      <c r="M10" s="7"/>
      <c r="N10" s="8"/>
      <c r="O10" s="8"/>
      <c r="P10" s="23"/>
      <c r="R10" s="9"/>
      <c r="S10" s="9"/>
      <c r="T10" s="9"/>
      <c r="U10" s="9"/>
      <c r="V10" s="9"/>
      <c r="W10" s="9"/>
      <c r="X10" s="9"/>
      <c r="Y10" s="9"/>
      <c r="Z10" s="9"/>
      <c r="AA10" s="9"/>
      <c r="AB10" s="9"/>
      <c r="AC10" s="9"/>
      <c r="AD10" s="9"/>
      <c r="AE10" s="9"/>
      <c r="AF10" s="9"/>
      <c r="AG10" s="9"/>
      <c r="AH10" s="9"/>
      <c r="AI10" s="9"/>
      <c r="AJ10" s="9"/>
      <c r="AK10" s="9"/>
      <c r="AL10" s="9"/>
      <c r="AM10" s="21"/>
      <c r="AN10" s="21"/>
      <c r="AO10" s="21"/>
      <c r="AP10" s="21"/>
      <c r="AQ10" s="21"/>
      <c r="AR10" s="21"/>
      <c r="AS10" s="21"/>
      <c r="AT10" s="21"/>
      <c r="AU10" s="21"/>
      <c r="AV10" s="21"/>
      <c r="AW10" s="21"/>
      <c r="AX10" s="22"/>
      <c r="AY10" s="22"/>
      <c r="AZ10" s="22"/>
      <c r="BA10" s="22"/>
      <c r="BB10" s="22"/>
    </row>
    <row r="11" spans="1:54" ht="30" customHeight="1" x14ac:dyDescent="0.25">
      <c r="A11" s="376" t="s">
        <v>444</v>
      </c>
      <c r="B11" s="377"/>
      <c r="C11" s="72"/>
      <c r="D11" s="376" t="s">
        <v>194</v>
      </c>
      <c r="E11" s="377"/>
      <c r="F11" s="41"/>
      <c r="G11" s="73"/>
      <c r="H11" s="73"/>
      <c r="I11" s="42"/>
      <c r="J11" s="384"/>
      <c r="K11" s="384"/>
      <c r="L11" s="37"/>
      <c r="M11" s="7"/>
      <c r="N11" s="8"/>
      <c r="P11" s="23"/>
      <c r="R11" s="9"/>
      <c r="S11" s="9"/>
      <c r="T11" s="9"/>
      <c r="U11" s="9"/>
      <c r="V11" s="9"/>
      <c r="W11" s="9"/>
      <c r="X11" s="9"/>
      <c r="Y11" s="9"/>
      <c r="Z11" s="9"/>
      <c r="AA11" s="9"/>
      <c r="AB11" s="9"/>
      <c r="AC11" s="9"/>
      <c r="AD11" s="9"/>
      <c r="AE11" s="9"/>
      <c r="AF11" s="9"/>
      <c r="AG11" s="9"/>
      <c r="AH11" s="9"/>
      <c r="AI11" s="9"/>
      <c r="AJ11" s="9"/>
      <c r="AK11" s="9"/>
      <c r="AL11" s="9"/>
      <c r="AM11" s="21"/>
      <c r="AN11" s="21"/>
      <c r="AO11" s="21"/>
      <c r="AP11" s="21"/>
      <c r="AQ11" s="21"/>
      <c r="AR11" s="21"/>
      <c r="AS11" s="21"/>
      <c r="AT11" s="21"/>
      <c r="AU11" s="21"/>
      <c r="AV11" s="21"/>
      <c r="AW11" s="21"/>
      <c r="AX11" s="22"/>
      <c r="AY11" s="22"/>
      <c r="AZ11" s="22"/>
      <c r="BA11" s="22"/>
      <c r="BB11" s="22"/>
    </row>
    <row r="12" spans="1:54" ht="30" customHeight="1" x14ac:dyDescent="0.25">
      <c r="A12" s="376" t="s">
        <v>343</v>
      </c>
      <c r="B12" s="377"/>
      <c r="C12" s="72"/>
      <c r="D12" s="73"/>
      <c r="E12" s="73"/>
      <c r="F12" s="74"/>
      <c r="G12" s="73"/>
      <c r="H12" s="73"/>
      <c r="I12" s="45"/>
      <c r="J12" s="384"/>
      <c r="K12" s="384"/>
      <c r="L12" s="37"/>
      <c r="M12" s="7"/>
      <c r="N12" s="8"/>
      <c r="Q12" s="9"/>
      <c r="R12" s="88"/>
      <c r="S12" s="9"/>
      <c r="T12" s="9"/>
      <c r="U12" s="9"/>
      <c r="V12" s="9"/>
      <c r="W12" s="9"/>
      <c r="X12" s="9"/>
      <c r="Y12" s="9"/>
      <c r="Z12" s="9"/>
      <c r="AA12" s="9"/>
      <c r="AB12" s="9"/>
      <c r="AC12" s="9"/>
      <c r="AD12" s="9"/>
      <c r="AE12" s="9"/>
      <c r="AF12" s="9"/>
      <c r="AG12" s="9"/>
      <c r="AH12" s="9"/>
      <c r="AI12" s="9"/>
      <c r="AJ12" s="9"/>
      <c r="AK12" s="9"/>
      <c r="AL12" s="9"/>
      <c r="AM12" s="21"/>
      <c r="AN12" s="21"/>
      <c r="AO12" s="21"/>
      <c r="AP12" s="21"/>
      <c r="AQ12" s="21"/>
      <c r="AR12" s="21"/>
      <c r="AS12" s="21"/>
      <c r="AT12" s="21"/>
      <c r="AU12" s="21"/>
      <c r="AV12" s="21"/>
      <c r="AW12" s="21"/>
      <c r="AX12" s="22"/>
      <c r="AY12" s="22"/>
      <c r="AZ12" s="22"/>
      <c r="BA12" s="22"/>
      <c r="BB12" s="22"/>
    </row>
    <row r="13" spans="1:54" ht="30" customHeight="1" x14ac:dyDescent="0.25">
      <c r="A13" s="40"/>
      <c r="B13" s="40"/>
      <c r="C13" s="43"/>
      <c r="D13" s="40"/>
      <c r="E13" s="40"/>
      <c r="F13" s="44"/>
      <c r="G13" s="385"/>
      <c r="H13" s="385"/>
      <c r="I13" s="45"/>
      <c r="J13" s="47"/>
      <c r="K13" s="47"/>
      <c r="L13" s="46"/>
      <c r="M13" s="7"/>
      <c r="N13" s="8"/>
      <c r="Q13" s="9"/>
      <c r="R13" s="9"/>
      <c r="S13" s="9"/>
      <c r="T13" s="9"/>
      <c r="U13" s="9"/>
      <c r="V13" s="9"/>
      <c r="W13" s="9"/>
      <c r="X13" s="9"/>
      <c r="Y13" s="9"/>
      <c r="Z13" s="9"/>
      <c r="AA13" s="9"/>
      <c r="AB13" s="9"/>
      <c r="AC13" s="9"/>
      <c r="AD13" s="9"/>
      <c r="AE13" s="9"/>
      <c r="AF13" s="9"/>
      <c r="AG13" s="9"/>
      <c r="AH13" s="9"/>
      <c r="AI13" s="9"/>
      <c r="AJ13" s="9"/>
      <c r="AK13" s="9"/>
      <c r="AL13" s="9"/>
      <c r="AM13" s="21"/>
      <c r="AN13" s="21"/>
      <c r="AO13" s="21"/>
      <c r="AP13" s="21"/>
      <c r="AQ13" s="21"/>
      <c r="AR13" s="21"/>
      <c r="AS13" s="21"/>
      <c r="AT13" s="21"/>
      <c r="AU13" s="21"/>
      <c r="AV13" s="21"/>
      <c r="AW13" s="21"/>
      <c r="AX13" s="22"/>
      <c r="AY13" s="22"/>
      <c r="AZ13" s="22"/>
      <c r="BA13" s="22"/>
      <c r="BB13" s="22"/>
    </row>
    <row r="14" spans="1:54" ht="30" customHeight="1" x14ac:dyDescent="0.25">
      <c r="A14" s="386"/>
      <c r="B14" s="386"/>
      <c r="C14" s="386"/>
      <c r="D14" s="386"/>
      <c r="E14" s="386"/>
      <c r="F14" s="386"/>
      <c r="G14" s="386"/>
      <c r="H14" s="386"/>
      <c r="I14" s="386"/>
      <c r="J14" s="386"/>
      <c r="K14" s="386"/>
      <c r="L14" s="386"/>
      <c r="M14" s="13"/>
      <c r="N14" s="18"/>
      <c r="O14" s="19"/>
      <c r="Q14" s="9"/>
      <c r="R14" s="9"/>
      <c r="S14" s="9"/>
      <c r="T14" s="9"/>
      <c r="U14" s="9"/>
      <c r="V14" s="9"/>
      <c r="W14" s="9"/>
      <c r="X14" s="9"/>
      <c r="Y14" s="9"/>
      <c r="Z14" s="9"/>
      <c r="AA14" s="9"/>
      <c r="AB14" s="9"/>
      <c r="AC14" s="9"/>
      <c r="AD14" s="9"/>
      <c r="AE14" s="9"/>
      <c r="AF14" s="9"/>
      <c r="AG14" s="9"/>
      <c r="AH14" s="9"/>
      <c r="AI14" s="9"/>
      <c r="AJ14" s="9"/>
      <c r="AK14" s="9"/>
      <c r="AL14" s="9"/>
      <c r="AM14" s="21"/>
      <c r="AN14" s="21"/>
      <c r="AO14" s="21"/>
      <c r="AP14" s="21"/>
      <c r="AQ14" s="21"/>
      <c r="AR14" s="21"/>
      <c r="AS14" s="21"/>
      <c r="AT14" s="21"/>
      <c r="AU14" s="21"/>
      <c r="AV14" s="21"/>
      <c r="AW14" s="21"/>
      <c r="AX14" s="22"/>
      <c r="AY14" s="22"/>
      <c r="AZ14" s="22"/>
      <c r="BA14" s="22"/>
      <c r="BB14" s="22"/>
    </row>
    <row r="15" spans="1:54" ht="30" customHeight="1" x14ac:dyDescent="0.25">
      <c r="A15" s="76"/>
      <c r="B15" s="76"/>
      <c r="C15" s="48"/>
      <c r="D15" s="48"/>
      <c r="E15" s="48"/>
      <c r="F15" s="48"/>
      <c r="G15" s="48"/>
      <c r="H15" s="48"/>
      <c r="I15" s="48"/>
      <c r="J15" s="48"/>
      <c r="K15" s="48"/>
      <c r="L15" s="48"/>
      <c r="M15" s="7"/>
      <c r="N15" s="8"/>
      <c r="O15" s="8"/>
      <c r="P15" s="14"/>
      <c r="Q15" s="9"/>
      <c r="R15" s="9"/>
      <c r="S15" s="9"/>
      <c r="T15" s="9"/>
      <c r="U15" s="9"/>
      <c r="V15" s="9"/>
      <c r="W15" s="9"/>
      <c r="X15" s="9"/>
      <c r="Y15" s="9"/>
      <c r="Z15" s="9"/>
      <c r="AA15" s="9"/>
      <c r="AB15" s="9"/>
      <c r="AC15" s="9"/>
      <c r="AD15" s="9"/>
      <c r="AE15" s="9"/>
      <c r="AF15" s="9"/>
      <c r="AG15" s="9"/>
      <c r="AH15" s="9"/>
      <c r="AI15" s="9"/>
      <c r="AJ15" s="9"/>
      <c r="AK15" s="9"/>
      <c r="AL15" s="9"/>
      <c r="AM15" s="21"/>
      <c r="AN15" s="21"/>
      <c r="AO15" s="21"/>
      <c r="AP15" s="21"/>
      <c r="AQ15" s="21"/>
      <c r="AR15" s="21"/>
      <c r="AS15" s="21"/>
      <c r="AT15" s="21"/>
      <c r="AU15" s="21"/>
      <c r="AV15" s="21"/>
      <c r="AW15" s="21"/>
      <c r="AX15" s="22"/>
      <c r="AY15" s="22"/>
      <c r="AZ15" s="22"/>
      <c r="BA15" s="22"/>
      <c r="BB15" s="22"/>
    </row>
    <row r="16" spans="1:54" ht="30" customHeight="1" x14ac:dyDescent="0.3">
      <c r="A16" s="70" t="s">
        <v>121</v>
      </c>
      <c r="B16" s="77"/>
      <c r="C16" s="49"/>
      <c r="D16" s="382" t="s">
        <v>278</v>
      </c>
      <c r="E16" s="382"/>
      <c r="F16" s="383"/>
      <c r="G16" s="84"/>
      <c r="H16" s="66"/>
      <c r="I16" s="67"/>
      <c r="J16" s="67"/>
      <c r="K16" s="50"/>
      <c r="L16" s="51"/>
      <c r="M16" s="16"/>
      <c r="N16" s="17"/>
      <c r="O16" s="17"/>
      <c r="Q16" s="9"/>
      <c r="R16" s="9"/>
      <c r="S16" s="9"/>
      <c r="T16" s="9"/>
      <c r="U16" s="9"/>
      <c r="V16" s="9"/>
      <c r="W16" s="9"/>
      <c r="X16" s="9"/>
      <c r="Y16" s="9"/>
      <c r="Z16" s="9"/>
      <c r="AA16" s="9"/>
      <c r="AB16" s="9"/>
      <c r="AC16" s="9"/>
      <c r="AD16" s="9"/>
      <c r="AE16" s="9"/>
      <c r="AF16" s="9"/>
      <c r="AG16" s="9"/>
      <c r="AH16" s="9"/>
      <c r="AI16" s="9"/>
      <c r="AJ16" s="9"/>
      <c r="AK16" s="9"/>
      <c r="AL16" s="9"/>
      <c r="AM16" s="21"/>
      <c r="AN16" s="21"/>
      <c r="AO16" s="21"/>
      <c r="AP16" s="21"/>
      <c r="AQ16" s="21"/>
      <c r="AR16" s="21"/>
      <c r="AS16" s="21"/>
      <c r="AT16" s="21"/>
      <c r="AU16" s="21"/>
      <c r="AV16" s="21"/>
      <c r="AW16" s="21"/>
      <c r="AX16" s="22"/>
      <c r="AY16" s="22"/>
      <c r="AZ16" s="22"/>
      <c r="BA16" s="22"/>
      <c r="BB16" s="22"/>
    </row>
    <row r="17" spans="1:54" ht="30" customHeight="1" x14ac:dyDescent="0.3">
      <c r="A17" s="52"/>
      <c r="B17" s="78"/>
      <c r="C17" s="53"/>
      <c r="D17" s="59"/>
      <c r="E17" s="81"/>
      <c r="F17" s="81"/>
      <c r="G17" s="85"/>
      <c r="H17" s="54"/>
      <c r="I17" s="55"/>
      <c r="J17" s="56"/>
      <c r="K17" s="57"/>
      <c r="L17" s="53"/>
      <c r="M17" s="13"/>
      <c r="N17" s="18"/>
      <c r="O17" s="19"/>
      <c r="P17" s="14"/>
      <c r="Q17" s="9"/>
      <c r="R17" s="9"/>
      <c r="S17" s="9"/>
      <c r="T17" s="9"/>
      <c r="U17" s="9"/>
      <c r="V17" s="9"/>
      <c r="W17" s="9"/>
      <c r="X17" s="9"/>
      <c r="Y17" s="9"/>
      <c r="Z17" s="9"/>
      <c r="AA17" s="9"/>
      <c r="AB17" s="9"/>
      <c r="AC17" s="9"/>
      <c r="AD17" s="9"/>
      <c r="AE17" s="9"/>
      <c r="AF17" s="9"/>
      <c r="AG17" s="9"/>
      <c r="AH17" s="9"/>
      <c r="AI17" s="9"/>
      <c r="AJ17" s="9"/>
      <c r="AK17" s="9"/>
      <c r="AL17" s="9"/>
      <c r="AM17" s="21"/>
      <c r="AN17" s="21"/>
      <c r="AO17" s="21"/>
      <c r="AP17" s="21"/>
      <c r="AQ17" s="21"/>
      <c r="AR17" s="21"/>
      <c r="AS17" s="21"/>
      <c r="AT17" s="21"/>
      <c r="AU17" s="21"/>
      <c r="AV17" s="21"/>
      <c r="AW17" s="21"/>
      <c r="AX17" s="22"/>
      <c r="AY17" s="22"/>
      <c r="AZ17" s="22"/>
      <c r="BA17" s="22"/>
      <c r="BB17" s="22"/>
    </row>
    <row r="18" spans="1:54" ht="30" customHeight="1" x14ac:dyDescent="0.3">
      <c r="A18" s="70" t="s">
        <v>122</v>
      </c>
      <c r="B18" s="79"/>
      <c r="C18" s="49"/>
      <c r="D18" s="58"/>
      <c r="E18" s="361" t="s">
        <v>341</v>
      </c>
      <c r="F18" s="362"/>
      <c r="G18" s="84"/>
      <c r="H18" s="68"/>
      <c r="I18" s="55"/>
      <c r="J18" s="56"/>
      <c r="K18" s="57"/>
      <c r="L18" s="53"/>
      <c r="M18" s="13"/>
      <c r="N18" s="18"/>
      <c r="O18" s="19"/>
      <c r="Q18" s="9"/>
      <c r="R18" s="9"/>
      <c r="S18" s="9"/>
      <c r="T18" s="9"/>
      <c r="U18" s="9"/>
      <c r="V18" s="9"/>
      <c r="W18" s="9"/>
      <c r="X18" s="9"/>
      <c r="Y18" s="9"/>
      <c r="Z18" s="9"/>
      <c r="AA18" s="9"/>
      <c r="AB18" s="9"/>
      <c r="AC18" s="9"/>
      <c r="AD18" s="9"/>
      <c r="AE18" s="9"/>
      <c r="AF18" s="9"/>
      <c r="AG18" s="9"/>
      <c r="AH18" s="9"/>
      <c r="AI18" s="9"/>
      <c r="AJ18" s="9"/>
      <c r="AK18" s="9"/>
      <c r="AL18" s="9"/>
      <c r="AM18" s="21"/>
      <c r="AN18" s="21"/>
      <c r="AO18" s="21"/>
      <c r="AP18" s="21"/>
      <c r="AQ18" s="21"/>
      <c r="AR18" s="21"/>
      <c r="AS18" s="21"/>
      <c r="AT18" s="21"/>
      <c r="AU18" s="21"/>
      <c r="AV18" s="21"/>
      <c r="AW18" s="21"/>
      <c r="AX18" s="22"/>
      <c r="AY18" s="22"/>
      <c r="AZ18" s="22"/>
      <c r="BA18" s="22"/>
      <c r="BB18" s="22"/>
    </row>
    <row r="19" spans="1:54" ht="30" customHeight="1" x14ac:dyDescent="0.3">
      <c r="A19" s="52"/>
      <c r="B19" s="78"/>
      <c r="C19" s="53"/>
      <c r="D19" s="59"/>
      <c r="E19" s="81"/>
      <c r="F19" s="81"/>
      <c r="G19" s="85"/>
      <c r="H19" s="54"/>
      <c r="I19" s="55"/>
      <c r="J19" s="56"/>
      <c r="K19" s="57"/>
      <c r="L19" s="53"/>
      <c r="M19" s="13"/>
      <c r="N19" s="18"/>
      <c r="O19" s="19"/>
      <c r="P19" s="14"/>
      <c r="Q19" s="9"/>
      <c r="R19" s="9"/>
      <c r="S19" s="9"/>
      <c r="T19" s="9"/>
      <c r="U19" s="9"/>
      <c r="V19" s="9"/>
      <c r="W19" s="9"/>
      <c r="X19" s="9"/>
      <c r="Y19" s="9"/>
      <c r="Z19" s="9"/>
      <c r="AA19" s="9"/>
      <c r="AB19" s="9"/>
      <c r="AC19" s="9"/>
      <c r="AD19" s="9"/>
      <c r="AE19" s="9"/>
      <c r="AF19" s="9"/>
      <c r="AG19" s="9"/>
      <c r="AH19" s="9"/>
      <c r="AI19" s="9"/>
      <c r="AJ19" s="9"/>
      <c r="AK19" s="9"/>
      <c r="AL19" s="9"/>
      <c r="AM19" s="21"/>
      <c r="AN19" s="21"/>
      <c r="AO19" s="21"/>
      <c r="AP19" s="21"/>
      <c r="AQ19" s="21"/>
      <c r="AR19" s="21"/>
      <c r="AS19" s="21"/>
      <c r="AT19" s="21"/>
      <c r="AU19" s="21"/>
      <c r="AV19" s="21"/>
      <c r="AW19" s="21"/>
      <c r="AX19" s="22"/>
      <c r="AY19" s="22"/>
      <c r="AZ19" s="22"/>
      <c r="BA19" s="22"/>
      <c r="BB19" s="22"/>
    </row>
    <row r="20" spans="1:54" ht="30" customHeight="1" x14ac:dyDescent="0.3">
      <c r="A20" s="70" t="s">
        <v>342</v>
      </c>
      <c r="B20" s="79"/>
      <c r="C20" s="58"/>
      <c r="D20" s="60"/>
      <c r="E20" s="82">
        <v>44396</v>
      </c>
      <c r="F20" s="83" t="s">
        <v>123</v>
      </c>
      <c r="G20" s="86"/>
      <c r="H20" s="69"/>
      <c r="I20" s="61"/>
      <c r="J20" s="62"/>
      <c r="K20" s="63"/>
      <c r="L20" s="59"/>
      <c r="M20" s="14"/>
      <c r="N20" s="15"/>
      <c r="O20" s="15"/>
      <c r="P20" s="19"/>
      <c r="Q20" s="9"/>
      <c r="R20" s="9"/>
      <c r="S20" s="9"/>
      <c r="T20" s="9"/>
      <c r="U20" s="9"/>
      <c r="V20" s="9"/>
      <c r="W20" s="9"/>
      <c r="X20" s="9"/>
      <c r="Y20" s="9"/>
      <c r="Z20" s="9"/>
      <c r="AA20" s="9"/>
      <c r="AB20" s="9"/>
      <c r="AC20" s="9"/>
      <c r="AD20" s="9"/>
      <c r="AE20" s="9"/>
      <c r="AF20" s="9"/>
      <c r="AG20" s="9"/>
      <c r="AH20" s="9"/>
      <c r="AI20" s="9"/>
      <c r="AJ20" s="9"/>
      <c r="AK20" s="9"/>
      <c r="AL20" s="9"/>
      <c r="AM20" s="21"/>
      <c r="AN20" s="21"/>
      <c r="AO20" s="21"/>
      <c r="AP20" s="21"/>
      <c r="AQ20" s="21"/>
      <c r="AR20" s="21"/>
      <c r="AS20" s="21"/>
      <c r="AT20" s="21"/>
      <c r="AU20" s="21"/>
      <c r="AV20" s="21"/>
      <c r="AW20" s="21"/>
      <c r="AX20" s="22"/>
      <c r="AY20" s="22"/>
      <c r="AZ20" s="22"/>
      <c r="BA20" s="22"/>
      <c r="BB20" s="22"/>
    </row>
    <row r="21" spans="1:54" ht="30" customHeight="1" x14ac:dyDescent="0.3">
      <c r="A21" s="80"/>
      <c r="B21" s="80"/>
      <c r="C21" s="64"/>
      <c r="D21" s="65"/>
      <c r="E21" s="65"/>
      <c r="F21" s="65"/>
      <c r="G21" s="87"/>
      <c r="H21" s="65"/>
      <c r="I21" s="65"/>
      <c r="J21" s="65"/>
      <c r="K21" s="65"/>
      <c r="L21" s="65"/>
      <c r="M21" s="13"/>
      <c r="N21" s="18"/>
      <c r="O21" s="19"/>
      <c r="P21" s="19"/>
      <c r="Q21" s="9"/>
      <c r="R21" s="9"/>
      <c r="S21" s="9"/>
      <c r="T21" s="9"/>
      <c r="U21" s="9"/>
      <c r="V21" s="9"/>
      <c r="W21" s="9"/>
      <c r="X21" s="9"/>
      <c r="Y21" s="9"/>
      <c r="Z21" s="9"/>
      <c r="AA21" s="9"/>
      <c r="AB21" s="9"/>
      <c r="AC21" s="9"/>
      <c r="AD21" s="9"/>
      <c r="AE21" s="9"/>
      <c r="AF21" s="9"/>
      <c r="AG21" s="9"/>
      <c r="AH21" s="9"/>
      <c r="AI21" s="9"/>
      <c r="AJ21" s="9"/>
      <c r="AK21" s="9"/>
      <c r="AL21" s="9"/>
      <c r="AM21" s="21"/>
      <c r="AN21" s="21"/>
      <c r="AO21" s="21"/>
      <c r="AP21" s="21"/>
      <c r="AQ21" s="21"/>
      <c r="AR21" s="21"/>
      <c r="AS21" s="21"/>
      <c r="AT21" s="21"/>
      <c r="AU21" s="21"/>
      <c r="AV21" s="21"/>
      <c r="AW21" s="21"/>
      <c r="AX21" s="22"/>
      <c r="AY21" s="22"/>
      <c r="AZ21" s="22"/>
      <c r="BA21" s="22"/>
      <c r="BB21" s="22"/>
    </row>
    <row r="22" spans="1:54" ht="14.4" thickBot="1" x14ac:dyDescent="0.3">
      <c r="A22" s="19"/>
      <c r="B22" s="19"/>
      <c r="C22" s="19"/>
      <c r="D22" s="19"/>
      <c r="E22" s="19"/>
      <c r="F22" s="19"/>
      <c r="G22" s="19"/>
      <c r="H22" s="19"/>
      <c r="I22" s="19"/>
      <c r="J22" s="19"/>
      <c r="K22" s="19"/>
      <c r="L22" s="19"/>
      <c r="M22" s="19"/>
      <c r="N22" s="19"/>
      <c r="O22" s="19"/>
      <c r="P22" s="19"/>
      <c r="Q22" s="9"/>
      <c r="R22" s="9"/>
      <c r="S22" s="9"/>
      <c r="T22" s="9"/>
      <c r="U22" s="9"/>
      <c r="V22" s="9"/>
      <c r="W22" s="9"/>
      <c r="X22" s="9"/>
      <c r="Y22" s="9"/>
      <c r="Z22" s="9"/>
      <c r="AA22" s="9"/>
      <c r="AB22" s="9"/>
      <c r="AC22" s="9"/>
      <c r="AD22" s="9"/>
      <c r="AE22" s="9"/>
      <c r="AF22" s="9"/>
      <c r="AG22" s="9"/>
      <c r="AH22" s="9"/>
      <c r="AI22" s="9"/>
      <c r="AJ22" s="9"/>
      <c r="AK22" s="9"/>
      <c r="AL22" s="9"/>
      <c r="AM22" s="21"/>
      <c r="AN22" s="21"/>
      <c r="AO22" s="21"/>
      <c r="AP22" s="21"/>
      <c r="AQ22" s="21"/>
      <c r="AR22" s="21"/>
      <c r="AS22" s="21"/>
      <c r="AT22" s="21"/>
      <c r="AU22" s="21"/>
      <c r="AV22" s="21"/>
      <c r="AW22" s="21"/>
      <c r="AX22" s="22"/>
      <c r="AY22" s="22"/>
      <c r="AZ22" s="22"/>
      <c r="BA22" s="22"/>
      <c r="BB22" s="22"/>
    </row>
    <row r="23" spans="1:54" ht="14.4" thickBot="1" x14ac:dyDescent="0.3">
      <c r="A23" s="365" t="s">
        <v>185</v>
      </c>
      <c r="B23" s="365"/>
      <c r="C23" s="366" t="s">
        <v>186</v>
      </c>
      <c r="D23" s="367"/>
      <c r="E23" s="368"/>
      <c r="F23" s="366" t="s">
        <v>187</v>
      </c>
      <c r="G23" s="367"/>
      <c r="H23" s="368"/>
      <c r="I23" s="365" t="s">
        <v>188</v>
      </c>
      <c r="J23" s="365"/>
      <c r="K23" s="19"/>
      <c r="L23" s="19"/>
      <c r="M23" s="19"/>
      <c r="N23" s="19"/>
      <c r="O23" s="19"/>
      <c r="P23" s="19"/>
      <c r="Q23" s="9"/>
      <c r="R23" s="9"/>
      <c r="S23" s="9"/>
      <c r="T23" s="9"/>
      <c r="U23" s="9"/>
      <c r="V23" s="9"/>
      <c r="W23" s="9"/>
      <c r="X23" s="9"/>
      <c r="Y23" s="9"/>
      <c r="Z23" s="9"/>
      <c r="AA23" s="9"/>
      <c r="AB23" s="9"/>
      <c r="AC23" s="9"/>
      <c r="AD23" s="9"/>
      <c r="AE23" s="9"/>
      <c r="AF23" s="9"/>
      <c r="AG23" s="9"/>
      <c r="AH23" s="9"/>
      <c r="AI23" s="9"/>
      <c r="AJ23" s="9"/>
      <c r="AK23" s="9"/>
      <c r="AL23" s="9"/>
      <c r="AM23" s="21"/>
      <c r="AN23" s="21"/>
      <c r="AO23" s="21"/>
      <c r="AP23" s="21"/>
      <c r="AQ23" s="21"/>
      <c r="AR23" s="21"/>
      <c r="AS23" s="21"/>
      <c r="AT23" s="21"/>
      <c r="AU23" s="21"/>
      <c r="AV23" s="21"/>
      <c r="AW23" s="21"/>
      <c r="AX23" s="22"/>
      <c r="AY23" s="22"/>
      <c r="AZ23" s="22"/>
      <c r="BA23" s="22"/>
      <c r="BB23" s="22"/>
    </row>
    <row r="24" spans="1:54" ht="77.25" customHeight="1" thickBot="1" x14ac:dyDescent="0.3">
      <c r="A24" s="365" t="s">
        <v>189</v>
      </c>
      <c r="B24" s="365"/>
      <c r="C24" s="363" t="s">
        <v>446</v>
      </c>
      <c r="D24" s="363"/>
      <c r="E24" s="363"/>
      <c r="F24" s="363" t="s">
        <v>326</v>
      </c>
      <c r="G24" s="363"/>
      <c r="H24" s="363"/>
      <c r="I24" s="364"/>
      <c r="J24" s="364"/>
      <c r="K24" s="19"/>
      <c r="L24" s="19"/>
      <c r="M24" s="19"/>
      <c r="N24" s="19"/>
      <c r="O24" s="19"/>
      <c r="P24" s="19"/>
      <c r="Q24" s="9"/>
      <c r="R24" s="9"/>
      <c r="S24" s="9"/>
      <c r="T24" s="9"/>
      <c r="U24" s="9"/>
      <c r="V24" s="9"/>
      <c r="W24" s="9"/>
      <c r="X24" s="9"/>
      <c r="Y24" s="9"/>
      <c r="Z24" s="9"/>
      <c r="AA24" s="9"/>
      <c r="AB24" s="9"/>
      <c r="AC24" s="9"/>
      <c r="AD24" s="9"/>
      <c r="AE24" s="9"/>
      <c r="AF24" s="9"/>
      <c r="AG24" s="9"/>
      <c r="AH24" s="9"/>
      <c r="AI24" s="9"/>
      <c r="AJ24" s="9"/>
      <c r="AK24" s="9"/>
      <c r="AL24" s="9"/>
      <c r="AM24" s="21"/>
      <c r="AN24" s="21"/>
      <c r="AO24" s="21"/>
      <c r="AP24" s="21"/>
      <c r="AQ24" s="21"/>
      <c r="AR24" s="21"/>
      <c r="AS24" s="21"/>
      <c r="AT24" s="21"/>
      <c r="AU24" s="21"/>
      <c r="AV24" s="21"/>
      <c r="AW24" s="21"/>
      <c r="AX24" s="22"/>
      <c r="AY24" s="22"/>
      <c r="AZ24" s="22"/>
      <c r="BA24" s="22"/>
      <c r="BB24" s="22"/>
    </row>
    <row r="25" spans="1:54" ht="54" customHeight="1" thickBot="1" x14ac:dyDescent="0.3">
      <c r="A25" s="365" t="s">
        <v>190</v>
      </c>
      <c r="B25" s="365"/>
      <c r="C25" s="363" t="s">
        <v>224</v>
      </c>
      <c r="D25" s="363"/>
      <c r="E25" s="363"/>
      <c r="F25" s="363" t="s">
        <v>304</v>
      </c>
      <c r="G25" s="363"/>
      <c r="H25" s="363"/>
      <c r="I25" s="364"/>
      <c r="J25" s="364"/>
      <c r="K25" s="19"/>
      <c r="L25" s="19"/>
      <c r="M25" s="19"/>
      <c r="N25" s="19"/>
      <c r="O25" s="19"/>
      <c r="P25" s="19"/>
      <c r="Q25" s="9"/>
      <c r="R25" s="9"/>
      <c r="S25" s="9"/>
      <c r="T25" s="9"/>
      <c r="U25" s="9"/>
      <c r="V25" s="9"/>
      <c r="W25" s="9"/>
      <c r="X25" s="9"/>
      <c r="Y25" s="9"/>
      <c r="Z25" s="9"/>
      <c r="AA25" s="9"/>
      <c r="AB25" s="9"/>
      <c r="AC25" s="9"/>
      <c r="AD25" s="9"/>
      <c r="AE25" s="9"/>
      <c r="AF25" s="9"/>
      <c r="AG25" s="9"/>
      <c r="AH25" s="9"/>
      <c r="AI25" s="9"/>
      <c r="AJ25" s="9"/>
      <c r="AK25" s="9"/>
      <c r="AL25" s="9"/>
      <c r="AM25" s="21"/>
      <c r="AN25" s="21"/>
      <c r="AO25" s="21"/>
      <c r="AP25" s="21"/>
      <c r="AQ25" s="21"/>
      <c r="AR25" s="21"/>
      <c r="AS25" s="21"/>
      <c r="AT25" s="21"/>
      <c r="AU25" s="21"/>
      <c r="AV25" s="21"/>
      <c r="AW25" s="21"/>
      <c r="AX25" s="22"/>
      <c r="AY25" s="22"/>
      <c r="AZ25" s="22"/>
      <c r="BA25" s="22"/>
      <c r="BB25" s="22"/>
    </row>
    <row r="26" spans="1:54" ht="61.5" customHeight="1" thickBot="1" x14ac:dyDescent="0.3">
      <c r="A26" s="365" t="s">
        <v>191</v>
      </c>
      <c r="B26" s="365"/>
      <c r="C26" s="363" t="s">
        <v>224</v>
      </c>
      <c r="D26" s="363"/>
      <c r="E26" s="363"/>
      <c r="F26" s="363" t="s">
        <v>447</v>
      </c>
      <c r="G26" s="363"/>
      <c r="H26" s="363"/>
      <c r="I26" s="364"/>
      <c r="J26" s="364"/>
      <c r="K26" s="19"/>
      <c r="L26" s="19"/>
      <c r="M26" s="19"/>
      <c r="N26" s="19"/>
      <c r="O26" s="19"/>
      <c r="P26" s="19"/>
      <c r="Q26" s="9"/>
      <c r="R26" s="9"/>
      <c r="S26" s="9"/>
      <c r="T26" s="9"/>
      <c r="U26" s="9"/>
      <c r="V26" s="9"/>
      <c r="W26" s="9"/>
      <c r="X26" s="9"/>
      <c r="Y26" s="9"/>
      <c r="Z26" s="9"/>
      <c r="AA26" s="9"/>
      <c r="AB26" s="9"/>
      <c r="AC26" s="9"/>
      <c r="AD26" s="9"/>
      <c r="AE26" s="9"/>
      <c r="AF26" s="9"/>
      <c r="AG26" s="9"/>
      <c r="AH26" s="9"/>
      <c r="AI26" s="9"/>
      <c r="AJ26" s="9"/>
      <c r="AK26" s="9"/>
      <c r="AL26" s="9"/>
      <c r="AM26" s="21"/>
      <c r="AN26" s="21"/>
      <c r="AO26" s="21"/>
      <c r="AP26" s="21"/>
      <c r="AQ26" s="21"/>
      <c r="AR26" s="21"/>
      <c r="AS26" s="21"/>
      <c r="AT26" s="21"/>
      <c r="AU26" s="21"/>
      <c r="AV26" s="21"/>
      <c r="AW26" s="21"/>
      <c r="AX26" s="22"/>
      <c r="AY26" s="22"/>
      <c r="AZ26" s="22"/>
      <c r="BA26" s="22"/>
      <c r="BB26" s="22"/>
    </row>
    <row r="27" spans="1:54" ht="13.8" x14ac:dyDescent="0.25">
      <c r="A27" s="19"/>
      <c r="B27" s="19"/>
      <c r="C27" s="19"/>
      <c r="D27" s="19"/>
      <c r="E27" s="19"/>
      <c r="F27" s="19"/>
      <c r="G27" s="19"/>
      <c r="H27" s="19"/>
      <c r="I27" s="19"/>
      <c r="J27" s="19"/>
      <c r="K27" s="19"/>
      <c r="L27" s="19"/>
      <c r="M27" s="19"/>
      <c r="N27" s="19"/>
      <c r="O27" s="19"/>
      <c r="P27" s="19"/>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2"/>
      <c r="AY27" s="22"/>
      <c r="AZ27" s="22"/>
      <c r="BA27" s="22"/>
    </row>
    <row r="28" spans="1:54" ht="13.8" x14ac:dyDescent="0.25">
      <c r="A28" s="19"/>
      <c r="B28" s="19"/>
      <c r="C28" s="19"/>
      <c r="D28" s="19"/>
      <c r="E28" s="19"/>
      <c r="F28" s="19"/>
      <c r="G28" s="19"/>
      <c r="H28" s="19"/>
      <c r="I28" s="19"/>
      <c r="J28" s="19"/>
      <c r="K28" s="19"/>
      <c r="L28" s="19"/>
      <c r="M28" s="19"/>
      <c r="N28" s="19"/>
      <c r="O28" s="19"/>
      <c r="P28" s="19"/>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2"/>
      <c r="AY28" s="22"/>
      <c r="AZ28" s="22"/>
      <c r="BA28" s="22"/>
    </row>
    <row r="29" spans="1:54" ht="13.8" x14ac:dyDescent="0.25">
      <c r="A29" s="19"/>
      <c r="B29" s="19"/>
      <c r="C29" s="19"/>
      <c r="D29" s="19"/>
      <c r="E29" s="19"/>
      <c r="F29" s="19"/>
      <c r="G29" s="19"/>
      <c r="H29" s="19"/>
      <c r="I29" s="19"/>
      <c r="J29" s="19"/>
      <c r="K29" s="19"/>
      <c r="L29" s="19"/>
      <c r="M29" s="19"/>
      <c r="N29" s="19"/>
      <c r="O29" s="19"/>
      <c r="P29" s="19"/>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2"/>
      <c r="AY29" s="22"/>
      <c r="AZ29" s="22"/>
      <c r="BA29" s="22"/>
    </row>
    <row r="30" spans="1:54" ht="13.8" x14ac:dyDescent="0.25">
      <c r="A30" s="19"/>
      <c r="B30" s="19"/>
      <c r="C30" s="19"/>
      <c r="D30" s="19"/>
      <c r="E30" s="19"/>
      <c r="F30" s="19"/>
      <c r="G30" s="19"/>
      <c r="H30" s="19"/>
      <c r="I30" s="19"/>
      <c r="J30" s="19"/>
      <c r="K30" s="19"/>
      <c r="L30" s="19"/>
      <c r="M30" s="19"/>
      <c r="N30" s="19"/>
      <c r="O30" s="19"/>
      <c r="P30" s="19"/>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2"/>
      <c r="AY30" s="22"/>
      <c r="AZ30" s="22"/>
      <c r="BA30" s="22"/>
    </row>
    <row r="31" spans="1:54" ht="13.8" x14ac:dyDescent="0.25">
      <c r="A31" s="19"/>
      <c r="B31" s="19"/>
      <c r="C31" s="19"/>
      <c r="D31" s="19"/>
      <c r="E31" s="19"/>
      <c r="F31" s="19"/>
      <c r="G31" s="19"/>
      <c r="H31" s="19"/>
      <c r="I31" s="19"/>
      <c r="J31" s="19"/>
      <c r="K31" s="19"/>
      <c r="L31" s="19"/>
      <c r="M31" s="19"/>
      <c r="N31" s="19"/>
      <c r="O31" s="19"/>
      <c r="P31" s="19"/>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2"/>
      <c r="AY31" s="22"/>
      <c r="AZ31" s="22"/>
      <c r="BA31" s="22"/>
    </row>
    <row r="32" spans="1:54" ht="13.8" x14ac:dyDescent="0.25">
      <c r="A32" s="19"/>
      <c r="B32" s="19"/>
      <c r="C32" s="19"/>
      <c r="D32" s="19"/>
      <c r="E32" s="19"/>
      <c r="F32" s="19"/>
      <c r="G32" s="19"/>
      <c r="H32" s="19"/>
      <c r="I32" s="19"/>
      <c r="J32" s="19"/>
      <c r="K32" s="19"/>
      <c r="L32" s="19"/>
      <c r="M32" s="19"/>
      <c r="N32" s="19"/>
      <c r="O32" s="19"/>
      <c r="P32" s="19"/>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2"/>
      <c r="AY32" s="22"/>
      <c r="AZ32" s="22"/>
      <c r="BA32" s="22"/>
    </row>
    <row r="33" spans="1:53" ht="13.8" x14ac:dyDescent="0.25">
      <c r="A33" s="19"/>
      <c r="B33" s="19"/>
      <c r="C33" s="19"/>
      <c r="D33" s="19"/>
      <c r="E33" s="19"/>
      <c r="F33" s="19"/>
      <c r="G33" s="19"/>
      <c r="H33" s="19"/>
      <c r="I33" s="19"/>
      <c r="J33" s="19"/>
      <c r="K33" s="19"/>
      <c r="L33" s="19"/>
      <c r="M33" s="19"/>
      <c r="N33" s="19"/>
      <c r="O33" s="19"/>
      <c r="P33" s="19"/>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2"/>
      <c r="AY33" s="22"/>
      <c r="AZ33" s="22"/>
      <c r="BA33" s="22"/>
    </row>
    <row r="34" spans="1:53" ht="13.8" x14ac:dyDescent="0.25">
      <c r="A34" s="18"/>
      <c r="B34" s="18"/>
      <c r="C34" s="19"/>
      <c r="D34" s="19"/>
      <c r="E34" s="19"/>
      <c r="F34" s="19"/>
      <c r="G34" s="19"/>
      <c r="H34" s="19"/>
      <c r="I34" s="19"/>
      <c r="J34" s="19"/>
      <c r="K34" s="19"/>
      <c r="L34" s="19"/>
      <c r="M34" s="19"/>
      <c r="N34" s="19"/>
      <c r="O34" s="19"/>
      <c r="P34" s="19"/>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2"/>
      <c r="AY34" s="22"/>
      <c r="AZ34" s="22"/>
      <c r="BA34" s="22"/>
    </row>
    <row r="35" spans="1:53" ht="13.8" x14ac:dyDescent="0.25">
      <c r="A35" s="19"/>
      <c r="B35" s="19"/>
      <c r="C35" s="19"/>
      <c r="D35" s="19"/>
      <c r="E35" s="19"/>
      <c r="F35" s="19"/>
      <c r="G35" s="19"/>
      <c r="H35" s="19"/>
      <c r="I35" s="19"/>
      <c r="J35" s="19"/>
      <c r="K35" s="19"/>
      <c r="L35" s="19"/>
      <c r="M35" s="19"/>
      <c r="N35" s="19"/>
      <c r="O35" s="19"/>
      <c r="P35" s="19"/>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2"/>
      <c r="AY35" s="22"/>
      <c r="AZ35" s="22"/>
      <c r="BA35" s="22"/>
    </row>
    <row r="36" spans="1:53" ht="13.8" x14ac:dyDescent="0.25">
      <c r="A36" s="19"/>
      <c r="B36" s="19"/>
      <c r="C36" s="19"/>
      <c r="D36" s="19"/>
      <c r="E36" s="19"/>
      <c r="F36" s="19"/>
      <c r="G36" s="19"/>
      <c r="H36" s="19"/>
      <c r="I36" s="19"/>
      <c r="J36" s="19"/>
      <c r="K36" s="19"/>
      <c r="L36" s="19"/>
      <c r="M36" s="19"/>
      <c r="N36" s="19"/>
      <c r="O36" s="19"/>
      <c r="P36" s="19"/>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2"/>
      <c r="AY36" s="22"/>
      <c r="AZ36" s="22"/>
      <c r="BA36" s="22"/>
    </row>
    <row r="37" spans="1:53" ht="13.8" x14ac:dyDescent="0.25">
      <c r="A37" s="19"/>
      <c r="B37" s="19"/>
      <c r="C37" s="19"/>
      <c r="D37" s="19"/>
      <c r="E37" s="19"/>
      <c r="F37" s="19"/>
      <c r="G37" s="19"/>
      <c r="H37" s="19"/>
      <c r="I37" s="19"/>
      <c r="J37" s="19"/>
      <c r="K37" s="19"/>
      <c r="L37" s="19"/>
      <c r="M37" s="19"/>
      <c r="N37" s="19"/>
      <c r="O37" s="19"/>
      <c r="P37" s="19"/>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2"/>
      <c r="AY37" s="22"/>
      <c r="AZ37" s="22"/>
      <c r="BA37" s="22"/>
    </row>
    <row r="38" spans="1:53" ht="13.8" x14ac:dyDescent="0.25">
      <c r="A38" s="19"/>
      <c r="B38" s="19"/>
      <c r="C38" s="19"/>
      <c r="D38" s="19"/>
      <c r="E38" s="19"/>
      <c r="F38" s="19"/>
      <c r="G38" s="19"/>
      <c r="H38" s="19"/>
      <c r="I38" s="19"/>
      <c r="J38" s="19"/>
      <c r="K38" s="19"/>
      <c r="L38" s="19"/>
      <c r="M38" s="19"/>
      <c r="N38" s="19"/>
      <c r="O38" s="19"/>
      <c r="P38" s="19"/>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2"/>
      <c r="AY38" s="22"/>
      <c r="AZ38" s="22"/>
      <c r="BA38" s="22"/>
    </row>
    <row r="39" spans="1:53" ht="13.8" x14ac:dyDescent="0.25">
      <c r="A39" s="19"/>
      <c r="B39" s="19"/>
      <c r="C39" s="19"/>
      <c r="D39" s="19"/>
      <c r="E39" s="19"/>
      <c r="F39" s="19"/>
      <c r="G39" s="19"/>
      <c r="H39" s="19"/>
      <c r="I39" s="19"/>
      <c r="J39" s="19"/>
      <c r="K39" s="19"/>
      <c r="L39" s="19"/>
      <c r="M39" s="19"/>
      <c r="N39" s="19"/>
      <c r="O39" s="19"/>
      <c r="P39" s="19"/>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2"/>
      <c r="AY39" s="22"/>
      <c r="AZ39" s="22"/>
      <c r="BA39" s="22"/>
    </row>
    <row r="40" spans="1:53" ht="13.8" x14ac:dyDescent="0.25">
      <c r="A40" s="19"/>
      <c r="B40" s="19"/>
      <c r="C40" s="19"/>
      <c r="D40" s="19"/>
      <c r="E40" s="19"/>
      <c r="F40" s="19"/>
      <c r="G40" s="19"/>
      <c r="H40" s="19"/>
      <c r="I40" s="19"/>
      <c r="J40" s="19"/>
      <c r="K40" s="19"/>
      <c r="L40" s="19"/>
      <c r="M40" s="19"/>
      <c r="N40" s="19"/>
      <c r="O40" s="19"/>
      <c r="P40" s="19"/>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2"/>
      <c r="AY40" s="22"/>
      <c r="AZ40" s="22"/>
      <c r="BA40" s="22"/>
    </row>
    <row r="41" spans="1:53" ht="13.8" x14ac:dyDescent="0.25">
      <c r="A41" s="19"/>
      <c r="B41" s="19"/>
      <c r="C41" s="19"/>
      <c r="D41" s="19"/>
      <c r="E41" s="19"/>
      <c r="F41" s="19"/>
      <c r="G41" s="19"/>
      <c r="H41" s="19"/>
      <c r="I41" s="19"/>
      <c r="J41" s="19"/>
      <c r="K41" s="19"/>
      <c r="L41" s="19"/>
      <c r="M41" s="19"/>
      <c r="N41" s="19"/>
      <c r="O41" s="19"/>
      <c r="P41" s="19"/>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2"/>
      <c r="AY41" s="22"/>
      <c r="AZ41" s="22"/>
      <c r="BA41" s="22"/>
    </row>
    <row r="42" spans="1:53" ht="13.8" x14ac:dyDescent="0.25">
      <c r="A42" s="19"/>
      <c r="B42" s="19"/>
      <c r="C42" s="19"/>
      <c r="D42" s="19"/>
      <c r="E42" s="19"/>
      <c r="F42" s="19"/>
      <c r="G42" s="19"/>
      <c r="H42" s="19"/>
      <c r="I42" s="19"/>
      <c r="J42" s="19"/>
      <c r="K42" s="19"/>
      <c r="L42" s="19"/>
      <c r="M42" s="19"/>
      <c r="N42" s="19"/>
      <c r="O42" s="19"/>
      <c r="P42" s="19"/>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2"/>
      <c r="AY42" s="22"/>
      <c r="AZ42" s="22"/>
      <c r="BA42" s="22"/>
    </row>
    <row r="43" spans="1:53" ht="13.8" x14ac:dyDescent="0.25">
      <c r="A43" s="19"/>
      <c r="B43" s="19"/>
      <c r="C43" s="19"/>
      <c r="D43" s="19"/>
      <c r="E43" s="19"/>
      <c r="F43" s="19"/>
      <c r="G43" s="19"/>
      <c r="H43" s="19"/>
      <c r="I43" s="19"/>
      <c r="J43" s="19"/>
      <c r="K43" s="19"/>
      <c r="L43" s="19"/>
      <c r="M43" s="19"/>
      <c r="N43" s="19"/>
      <c r="O43" s="19"/>
      <c r="P43" s="19"/>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2"/>
      <c r="AY43" s="22"/>
      <c r="AZ43" s="22"/>
      <c r="BA43" s="22"/>
    </row>
    <row r="44" spans="1:53" ht="13.8" x14ac:dyDescent="0.25">
      <c r="A44" s="19"/>
      <c r="B44" s="19"/>
      <c r="C44" s="19"/>
      <c r="D44" s="19"/>
      <c r="E44" s="19"/>
      <c r="F44" s="19"/>
      <c r="G44" s="19"/>
      <c r="H44" s="19"/>
      <c r="I44" s="19"/>
      <c r="J44" s="19"/>
      <c r="K44" s="19"/>
      <c r="L44" s="19"/>
      <c r="M44" s="19"/>
      <c r="N44" s="19"/>
      <c r="O44" s="19"/>
      <c r="P44" s="19"/>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2"/>
      <c r="AY44" s="22"/>
      <c r="AZ44" s="22"/>
      <c r="BA44" s="22"/>
    </row>
    <row r="45" spans="1:53" ht="13.8" x14ac:dyDescent="0.25">
      <c r="A45" s="13"/>
      <c r="B45" s="13"/>
      <c r="C45" s="13"/>
      <c r="D45" s="13"/>
      <c r="E45" s="13"/>
      <c r="F45" s="13"/>
      <c r="G45" s="13"/>
      <c r="H45" s="13"/>
      <c r="I45" s="13"/>
      <c r="J45" s="13"/>
      <c r="K45" s="13"/>
      <c r="L45" s="13"/>
      <c r="M45" s="13"/>
      <c r="N45" s="19"/>
      <c r="O45" s="19"/>
      <c r="P45" s="19"/>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2"/>
      <c r="AY45" s="22"/>
      <c r="AZ45" s="22"/>
      <c r="BA45" s="22"/>
    </row>
    <row r="46" spans="1:53" ht="24.9" customHeight="1" x14ac:dyDescent="0.25">
      <c r="A46" s="380"/>
      <c r="B46" s="380"/>
      <c r="C46" s="380"/>
      <c r="D46" s="380"/>
      <c r="E46" s="380"/>
      <c r="F46" s="380"/>
      <c r="G46" s="380"/>
      <c r="H46" s="380"/>
      <c r="I46" s="380"/>
      <c r="J46" s="380"/>
      <c r="K46" s="380"/>
      <c r="L46" s="380"/>
      <c r="M46" s="13"/>
      <c r="N46" s="19"/>
      <c r="O46" s="19"/>
      <c r="P46" s="19"/>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2"/>
      <c r="AY46" s="22"/>
      <c r="AZ46" s="22"/>
      <c r="BA46" s="22"/>
    </row>
    <row r="47" spans="1:53" ht="13.8" x14ac:dyDescent="0.25">
      <c r="A47" s="25"/>
      <c r="B47" s="25"/>
      <c r="C47" s="25"/>
      <c r="D47" s="25"/>
      <c r="E47" s="25"/>
      <c r="F47" s="25"/>
      <c r="G47" s="25"/>
      <c r="H47" s="25"/>
      <c r="I47" s="25"/>
      <c r="J47" s="25"/>
      <c r="K47" s="25"/>
      <c r="L47" s="25"/>
      <c r="M47" s="7"/>
      <c r="N47" s="19"/>
      <c r="O47" s="19"/>
      <c r="P47" s="19"/>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2"/>
      <c r="AY47" s="22"/>
      <c r="AZ47" s="22"/>
      <c r="BA47" s="22"/>
    </row>
    <row r="48" spans="1:53" ht="21" x14ac:dyDescent="0.4">
      <c r="A48" s="33"/>
      <c r="B48" s="33"/>
      <c r="C48" s="26"/>
      <c r="D48" s="26"/>
      <c r="E48" s="26"/>
      <c r="F48" s="26"/>
      <c r="G48" s="26"/>
      <c r="H48" s="26"/>
      <c r="I48" s="26"/>
      <c r="J48" s="26"/>
      <c r="K48" s="26"/>
      <c r="L48" s="26"/>
      <c r="M48" s="13"/>
      <c r="N48" s="19"/>
      <c r="O48" s="19"/>
      <c r="P48" s="19"/>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2"/>
      <c r="AY48" s="22"/>
      <c r="AZ48" s="22"/>
      <c r="BA48" s="22"/>
    </row>
    <row r="49" spans="1:53" ht="13.8" x14ac:dyDescent="0.25">
      <c r="A49" s="27"/>
      <c r="B49" s="27"/>
      <c r="C49" s="28"/>
      <c r="D49" s="28"/>
      <c r="E49" s="28"/>
      <c r="F49" s="28"/>
      <c r="G49" s="28"/>
      <c r="H49" s="28"/>
      <c r="I49" s="28"/>
      <c r="J49" s="28"/>
      <c r="K49" s="28"/>
      <c r="L49" s="28"/>
      <c r="M49" s="7"/>
      <c r="N49" s="19"/>
      <c r="O49" s="19"/>
      <c r="P49" s="19"/>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2"/>
      <c r="AY49" s="22"/>
      <c r="AZ49" s="22"/>
      <c r="BA49" s="22"/>
    </row>
    <row r="50" spans="1:53" ht="28.2" x14ac:dyDescent="0.5">
      <c r="A50" s="34"/>
      <c r="B50" s="34"/>
      <c r="C50" s="30"/>
      <c r="D50" s="30"/>
      <c r="E50" s="30"/>
      <c r="F50" s="26"/>
      <c r="G50" s="26"/>
      <c r="H50" s="26"/>
      <c r="I50" s="26"/>
      <c r="J50" s="26"/>
      <c r="K50" s="26"/>
      <c r="L50" s="26"/>
      <c r="M50" s="13"/>
      <c r="N50" s="19"/>
      <c r="O50" s="19"/>
      <c r="P50" s="19"/>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2"/>
      <c r="AY50" s="22"/>
      <c r="AZ50" s="22"/>
      <c r="BA50" s="22"/>
    </row>
    <row r="51" spans="1:53" ht="24.6" x14ac:dyDescent="0.4">
      <c r="A51" s="35"/>
      <c r="B51" s="35"/>
      <c r="C51" s="30"/>
      <c r="D51" s="30"/>
      <c r="E51" s="30"/>
      <c r="F51" s="26"/>
      <c r="G51" s="26"/>
      <c r="H51" s="26"/>
      <c r="I51" s="26"/>
      <c r="J51" s="26"/>
      <c r="K51" s="26"/>
      <c r="L51" s="26"/>
      <c r="M51" s="13"/>
      <c r="N51" s="19"/>
      <c r="O51" s="19"/>
      <c r="P51" s="19"/>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2"/>
      <c r="AY51" s="22"/>
      <c r="AZ51" s="22"/>
      <c r="BA51" s="22"/>
    </row>
    <row r="52" spans="1:53" ht="15" x14ac:dyDescent="0.25">
      <c r="A52" s="29"/>
      <c r="B52" s="29"/>
      <c r="C52" s="26"/>
      <c r="D52" s="26"/>
      <c r="E52" s="26"/>
      <c r="F52" s="26"/>
      <c r="G52" s="26"/>
      <c r="H52" s="26"/>
      <c r="I52" s="26"/>
      <c r="J52" s="26"/>
      <c r="K52" s="26"/>
      <c r="L52" s="26"/>
      <c r="M52" s="13"/>
      <c r="N52" s="19"/>
      <c r="O52" s="19"/>
      <c r="P52" s="19"/>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2"/>
      <c r="AY52" s="22"/>
      <c r="AZ52" s="22"/>
      <c r="BA52" s="22"/>
    </row>
    <row r="53" spans="1:53" ht="15" x14ac:dyDescent="0.25">
      <c r="A53" s="29"/>
      <c r="B53" s="29"/>
      <c r="C53" s="26"/>
      <c r="D53" s="26"/>
      <c r="E53" s="26"/>
      <c r="F53" s="26"/>
      <c r="G53" s="26"/>
      <c r="H53" s="26"/>
      <c r="I53" s="26"/>
      <c r="J53" s="26"/>
      <c r="K53" s="26"/>
      <c r="L53" s="26"/>
      <c r="M53" s="13"/>
      <c r="N53" s="19"/>
      <c r="O53" s="19"/>
      <c r="P53" s="19"/>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2"/>
      <c r="AY53" s="22"/>
      <c r="AZ53" s="22"/>
      <c r="BA53" s="22"/>
    </row>
    <row r="54" spans="1:53" ht="15" x14ac:dyDescent="0.25">
      <c r="A54" s="29"/>
      <c r="B54" s="29"/>
      <c r="C54" s="26"/>
      <c r="D54" s="26"/>
      <c r="E54" s="26"/>
      <c r="F54" s="26"/>
      <c r="G54" s="26"/>
      <c r="H54" s="26"/>
      <c r="I54" s="26"/>
      <c r="J54" s="26"/>
      <c r="K54" s="26"/>
      <c r="L54" s="26"/>
      <c r="M54" s="13"/>
      <c r="N54" s="19"/>
      <c r="O54" s="19"/>
      <c r="P54" s="19"/>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2"/>
      <c r="AY54" s="22"/>
      <c r="AZ54" s="22"/>
      <c r="BA54" s="22"/>
    </row>
    <row r="55" spans="1:53" ht="15" x14ac:dyDescent="0.25">
      <c r="A55" s="29"/>
      <c r="B55" s="29"/>
      <c r="C55" s="26"/>
      <c r="D55" s="26"/>
      <c r="E55" s="26"/>
      <c r="F55" s="26"/>
      <c r="G55" s="26"/>
      <c r="H55" s="26"/>
      <c r="I55" s="26"/>
      <c r="J55" s="26"/>
      <c r="K55" s="26"/>
      <c r="L55" s="26"/>
      <c r="M55" s="13"/>
      <c r="N55" s="19"/>
      <c r="O55" s="19"/>
      <c r="P55" s="19"/>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2"/>
      <c r="AY55" s="22"/>
      <c r="AZ55" s="22"/>
      <c r="BA55" s="22"/>
    </row>
    <row r="56" spans="1:53" ht="15" x14ac:dyDescent="0.25">
      <c r="A56" s="29"/>
      <c r="B56" s="29"/>
      <c r="C56" s="26"/>
      <c r="D56" s="26"/>
      <c r="E56" s="26"/>
      <c r="F56" s="26"/>
      <c r="G56" s="26"/>
      <c r="H56" s="26"/>
      <c r="I56" s="26"/>
      <c r="J56" s="26"/>
      <c r="K56" s="26"/>
      <c r="L56" s="26"/>
      <c r="M56" s="13"/>
      <c r="N56" s="19"/>
      <c r="O56" s="19"/>
      <c r="P56" s="19"/>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2"/>
      <c r="AY56" s="22"/>
      <c r="AZ56" s="22"/>
      <c r="BA56" s="22"/>
    </row>
    <row r="57" spans="1:53" ht="17.399999999999999" x14ac:dyDescent="0.3">
      <c r="A57" s="36"/>
      <c r="B57" s="36"/>
      <c r="C57" s="26"/>
      <c r="D57" s="26"/>
      <c r="E57" s="26"/>
      <c r="F57" s="26"/>
      <c r="G57" s="26"/>
      <c r="H57" s="26"/>
      <c r="I57" s="26"/>
      <c r="J57" s="26"/>
      <c r="K57" s="26"/>
      <c r="L57" s="26"/>
      <c r="M57" s="13"/>
      <c r="N57" s="19"/>
      <c r="O57" s="19"/>
      <c r="P57" s="19"/>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2"/>
      <c r="AY57" s="22"/>
      <c r="AZ57" s="22"/>
      <c r="BA57" s="22"/>
    </row>
    <row r="58" spans="1:53" ht="17.399999999999999" x14ac:dyDescent="0.3">
      <c r="A58" s="31"/>
      <c r="B58" s="31"/>
      <c r="C58" s="26"/>
      <c r="D58" s="26"/>
      <c r="E58" s="26"/>
      <c r="F58" s="26"/>
      <c r="G58" s="26"/>
      <c r="H58" s="26"/>
      <c r="I58" s="26"/>
      <c r="J58" s="26"/>
      <c r="K58" s="26"/>
      <c r="L58" s="26"/>
      <c r="M58" s="13"/>
      <c r="N58" s="19"/>
      <c r="O58" s="19"/>
      <c r="P58" s="19"/>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2"/>
      <c r="AY58" s="22"/>
      <c r="AZ58" s="22"/>
      <c r="BA58" s="22"/>
    </row>
    <row r="59" spans="1:53" ht="35.25" customHeight="1" x14ac:dyDescent="0.25">
      <c r="A59" s="32"/>
      <c r="B59" s="32"/>
      <c r="C59" s="32"/>
      <c r="D59" s="32"/>
      <c r="E59" s="32"/>
      <c r="F59" s="32"/>
      <c r="G59" s="32"/>
      <c r="H59" s="32"/>
      <c r="I59" s="32"/>
      <c r="J59" s="32"/>
      <c r="K59" s="32"/>
      <c r="L59" s="32"/>
      <c r="M59" s="7"/>
      <c r="N59" s="19"/>
      <c r="O59" s="19"/>
      <c r="P59" s="19"/>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2"/>
      <c r="AY59" s="22"/>
      <c r="AZ59" s="22"/>
      <c r="BA59" s="22"/>
    </row>
    <row r="60" spans="1:53" ht="13.8" x14ac:dyDescent="0.25">
      <c r="A60" s="7"/>
      <c r="B60" s="7"/>
      <c r="C60" s="7"/>
      <c r="D60" s="7"/>
      <c r="E60" s="7"/>
      <c r="F60" s="7"/>
      <c r="G60" s="7"/>
      <c r="H60" s="7"/>
      <c r="I60" s="7"/>
      <c r="J60" s="7"/>
      <c r="K60" s="7"/>
      <c r="L60" s="7"/>
      <c r="M60" s="7"/>
      <c r="N60" s="19"/>
      <c r="O60" s="19"/>
      <c r="P60" s="19"/>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2"/>
      <c r="AY60" s="22"/>
      <c r="AZ60" s="22"/>
      <c r="BA60" s="22"/>
    </row>
    <row r="61" spans="1:53" ht="13.8" x14ac:dyDescent="0.25">
      <c r="A61" s="19"/>
      <c r="B61" s="19"/>
      <c r="C61" s="19"/>
      <c r="D61" s="19"/>
      <c r="E61" s="19"/>
      <c r="F61" s="19"/>
      <c r="G61" s="19"/>
      <c r="H61" s="19"/>
      <c r="I61" s="19"/>
      <c r="J61" s="19"/>
      <c r="K61" s="19"/>
      <c r="L61" s="19"/>
      <c r="M61" s="19"/>
      <c r="N61" s="19"/>
      <c r="O61" s="19"/>
      <c r="P61" s="19"/>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2"/>
      <c r="AY61" s="22"/>
      <c r="AZ61" s="22"/>
      <c r="BA61" s="22"/>
    </row>
    <row r="62" spans="1:53" ht="13.8" x14ac:dyDescent="0.25">
      <c r="A62" s="19"/>
      <c r="B62" s="19"/>
      <c r="C62" s="19"/>
      <c r="D62" s="19"/>
      <c r="E62" s="19"/>
      <c r="F62" s="19"/>
      <c r="G62" s="19"/>
      <c r="H62" s="19"/>
      <c r="I62" s="19"/>
      <c r="J62" s="19"/>
      <c r="K62" s="19"/>
      <c r="L62" s="19"/>
      <c r="M62" s="19"/>
      <c r="N62" s="19"/>
      <c r="O62" s="19"/>
      <c r="P62" s="19"/>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2"/>
      <c r="AY62" s="22"/>
      <c r="AZ62" s="22"/>
      <c r="BA62" s="22"/>
    </row>
    <row r="63" spans="1:53" ht="13.8" x14ac:dyDescent="0.25">
      <c r="A63" s="19"/>
      <c r="B63" s="19"/>
      <c r="C63" s="19"/>
      <c r="D63" s="19"/>
      <c r="E63" s="19"/>
      <c r="F63" s="19"/>
      <c r="G63" s="19"/>
      <c r="H63" s="19"/>
      <c r="I63" s="19"/>
      <c r="J63" s="19"/>
      <c r="K63" s="19"/>
      <c r="L63" s="19"/>
      <c r="M63" s="19"/>
      <c r="N63" s="19"/>
      <c r="O63" s="19"/>
      <c r="P63" s="19"/>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2"/>
      <c r="AY63" s="22"/>
      <c r="AZ63" s="22"/>
      <c r="BA63" s="22"/>
    </row>
    <row r="64" spans="1:53" ht="13.8" x14ac:dyDescent="0.25">
      <c r="A64" s="19"/>
      <c r="B64" s="19"/>
      <c r="C64" s="19"/>
      <c r="D64" s="19"/>
      <c r="E64" s="19"/>
      <c r="F64" s="19"/>
      <c r="G64" s="19"/>
      <c r="H64" s="19"/>
      <c r="I64" s="19"/>
      <c r="J64" s="19"/>
      <c r="K64" s="19"/>
      <c r="L64" s="19"/>
      <c r="M64" s="19"/>
      <c r="N64" s="19"/>
      <c r="O64" s="19"/>
      <c r="P64" s="19"/>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2"/>
      <c r="AY64" s="22"/>
      <c r="AZ64" s="22"/>
      <c r="BA64" s="22"/>
    </row>
    <row r="65" spans="1:53" ht="13.8" x14ac:dyDescent="0.25">
      <c r="A65" s="19"/>
      <c r="B65" s="19"/>
      <c r="C65" s="19"/>
      <c r="D65" s="19"/>
      <c r="E65" s="19"/>
      <c r="F65" s="19"/>
      <c r="G65" s="19"/>
      <c r="H65" s="19"/>
      <c r="I65" s="19"/>
      <c r="J65" s="19"/>
      <c r="K65" s="19"/>
      <c r="L65" s="19"/>
      <c r="M65" s="19"/>
      <c r="N65" s="19"/>
      <c r="O65" s="19"/>
      <c r="P65" s="19"/>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2"/>
      <c r="AY65" s="22"/>
      <c r="AZ65" s="22"/>
      <c r="BA65" s="22"/>
    </row>
    <row r="66" spans="1:53" ht="13.8" x14ac:dyDescent="0.25">
      <c r="A66" s="19"/>
      <c r="B66" s="19"/>
      <c r="C66" s="19"/>
      <c r="D66" s="19"/>
      <c r="E66" s="19"/>
      <c r="F66" s="19"/>
      <c r="G66" s="19"/>
      <c r="H66" s="19"/>
      <c r="I66" s="19"/>
      <c r="J66" s="19"/>
      <c r="K66" s="19"/>
      <c r="L66" s="19"/>
      <c r="M66" s="19"/>
      <c r="N66" s="19"/>
      <c r="O66" s="19"/>
      <c r="P66" s="19"/>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2"/>
      <c r="AY66" s="22"/>
      <c r="AZ66" s="22"/>
      <c r="BA66" s="22"/>
    </row>
    <row r="67" spans="1:53" ht="13.8" x14ac:dyDescent="0.25">
      <c r="A67" s="19"/>
      <c r="B67" s="19"/>
      <c r="C67" s="19"/>
      <c r="D67" s="19"/>
      <c r="E67" s="19"/>
      <c r="F67" s="19"/>
      <c r="G67" s="19"/>
      <c r="H67" s="19"/>
      <c r="I67" s="19"/>
      <c r="J67" s="19"/>
      <c r="K67" s="19"/>
      <c r="L67" s="19"/>
      <c r="M67" s="19"/>
      <c r="N67" s="19"/>
      <c r="O67" s="19"/>
      <c r="P67" s="19"/>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2"/>
      <c r="AY67" s="22"/>
      <c r="AZ67" s="22"/>
      <c r="BA67" s="22"/>
    </row>
    <row r="68" spans="1:53" ht="13.8" x14ac:dyDescent="0.25">
      <c r="A68" s="19"/>
      <c r="B68" s="19"/>
      <c r="C68" s="19"/>
      <c r="D68" s="19"/>
      <c r="E68" s="19"/>
      <c r="F68" s="19"/>
      <c r="G68" s="19"/>
      <c r="H68" s="19"/>
      <c r="I68" s="19"/>
      <c r="J68" s="19"/>
      <c r="K68" s="19"/>
      <c r="L68" s="19"/>
      <c r="M68" s="19"/>
      <c r="N68" s="19"/>
      <c r="O68" s="19"/>
      <c r="P68" s="19"/>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2"/>
      <c r="AY68" s="22"/>
      <c r="AZ68" s="22"/>
      <c r="BA68" s="22"/>
    </row>
    <row r="69" spans="1:53" ht="13.8" x14ac:dyDescent="0.25">
      <c r="A69" s="19"/>
      <c r="B69" s="19"/>
      <c r="C69" s="19"/>
      <c r="D69" s="19"/>
      <c r="E69" s="19"/>
      <c r="F69" s="19"/>
      <c r="G69" s="19"/>
      <c r="H69" s="19"/>
      <c r="I69" s="19"/>
      <c r="J69" s="19"/>
      <c r="K69" s="19"/>
      <c r="L69" s="19"/>
      <c r="M69" s="19"/>
      <c r="N69" s="19"/>
      <c r="O69" s="19"/>
      <c r="P69" s="19"/>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2"/>
      <c r="AY69" s="22"/>
      <c r="AZ69" s="22"/>
      <c r="BA69" s="22"/>
    </row>
    <row r="70" spans="1:53" ht="13.8" x14ac:dyDescent="0.25">
      <c r="A70" s="19"/>
      <c r="B70" s="19"/>
      <c r="C70" s="19"/>
      <c r="D70" s="19"/>
      <c r="E70" s="19"/>
      <c r="F70" s="19"/>
      <c r="G70" s="19"/>
      <c r="H70" s="19"/>
      <c r="I70" s="19"/>
      <c r="J70" s="19"/>
      <c r="K70" s="19"/>
      <c r="L70" s="19"/>
      <c r="M70" s="19"/>
      <c r="N70" s="19"/>
      <c r="O70" s="19"/>
      <c r="P70" s="19"/>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2"/>
      <c r="AY70" s="22"/>
      <c r="AZ70" s="22"/>
      <c r="BA70" s="22"/>
    </row>
    <row r="71" spans="1:53" ht="13.8" x14ac:dyDescent="0.25">
      <c r="A71" s="19"/>
      <c r="B71" s="19"/>
      <c r="C71" s="19"/>
      <c r="D71" s="19"/>
      <c r="E71" s="19"/>
      <c r="F71" s="19"/>
      <c r="G71" s="19"/>
      <c r="H71" s="19"/>
      <c r="I71" s="19"/>
      <c r="J71" s="19"/>
      <c r="K71" s="19"/>
      <c r="L71" s="19"/>
      <c r="M71" s="19"/>
      <c r="N71" s="19"/>
      <c r="O71" s="19"/>
      <c r="P71" s="19"/>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2"/>
      <c r="AY71" s="22"/>
      <c r="AZ71" s="22"/>
      <c r="BA71" s="22"/>
    </row>
    <row r="72" spans="1:53" ht="13.8" x14ac:dyDescent="0.25">
      <c r="A72" s="19"/>
      <c r="B72" s="19"/>
      <c r="C72" s="19"/>
      <c r="D72" s="19"/>
      <c r="E72" s="19"/>
      <c r="F72" s="19"/>
      <c r="G72" s="19"/>
      <c r="H72" s="19"/>
      <c r="I72" s="19"/>
      <c r="J72" s="19"/>
      <c r="K72" s="19"/>
      <c r="L72" s="19"/>
      <c r="M72" s="19"/>
      <c r="N72" s="19"/>
      <c r="O72" s="19"/>
      <c r="P72" s="19"/>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2"/>
      <c r="AY72" s="22"/>
      <c r="AZ72" s="22"/>
      <c r="BA72" s="22"/>
    </row>
    <row r="73" spans="1:53" ht="13.8" x14ac:dyDescent="0.25">
      <c r="A73" s="19"/>
      <c r="B73" s="19"/>
      <c r="C73" s="19"/>
      <c r="D73" s="19"/>
      <c r="E73" s="19"/>
      <c r="F73" s="19"/>
      <c r="G73" s="19"/>
      <c r="H73" s="19"/>
      <c r="I73" s="19"/>
      <c r="J73" s="19"/>
      <c r="K73" s="19"/>
      <c r="L73" s="19"/>
      <c r="M73" s="19"/>
      <c r="N73" s="19"/>
      <c r="O73" s="19"/>
      <c r="P73" s="19"/>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2"/>
      <c r="AY73" s="22"/>
      <c r="AZ73" s="22"/>
      <c r="BA73" s="22"/>
    </row>
    <row r="74" spans="1:53" ht="13.8" x14ac:dyDescent="0.25">
      <c r="A74" s="19"/>
      <c r="B74" s="19"/>
      <c r="C74" s="19"/>
      <c r="D74" s="19"/>
      <c r="E74" s="19"/>
      <c r="F74" s="19"/>
      <c r="G74" s="19"/>
      <c r="H74" s="19"/>
      <c r="I74" s="19"/>
      <c r="J74" s="19"/>
      <c r="K74" s="19"/>
      <c r="L74" s="19"/>
      <c r="M74" s="19"/>
      <c r="N74" s="19"/>
      <c r="O74" s="19"/>
      <c r="P74" s="19"/>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2"/>
      <c r="AY74" s="22"/>
      <c r="AZ74" s="22"/>
      <c r="BA74" s="22"/>
    </row>
    <row r="75" spans="1:53" ht="13.8"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2"/>
      <c r="AY75" s="22"/>
      <c r="AZ75" s="22"/>
      <c r="BA75" s="22"/>
    </row>
    <row r="76" spans="1:53" ht="13.8"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2"/>
      <c r="AY76" s="22"/>
      <c r="AZ76" s="22"/>
      <c r="BA76" s="22"/>
    </row>
    <row r="77" spans="1:53" ht="13.8"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2"/>
      <c r="AY77" s="22"/>
      <c r="AZ77" s="22"/>
      <c r="BA77" s="22"/>
    </row>
    <row r="78" spans="1:53" ht="13.8"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2"/>
      <c r="AY78" s="22"/>
      <c r="AZ78" s="22"/>
      <c r="BA78" s="22"/>
    </row>
    <row r="79" spans="1:53" ht="13.8"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2"/>
      <c r="AY79" s="22"/>
      <c r="AZ79" s="22"/>
      <c r="BA79" s="22"/>
    </row>
    <row r="80" spans="1:53" ht="13.8"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2"/>
      <c r="AY80" s="22"/>
      <c r="AZ80" s="22"/>
      <c r="BA80" s="22"/>
    </row>
    <row r="81" spans="1:53" ht="13.8"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2"/>
      <c r="AY81" s="22"/>
      <c r="AZ81" s="22"/>
      <c r="BA81" s="22"/>
    </row>
    <row r="82" spans="1:53" ht="13.8"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2"/>
      <c r="AY82" s="22"/>
      <c r="AZ82" s="22"/>
      <c r="BA82" s="22"/>
    </row>
    <row r="83" spans="1:53" ht="13.8"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2"/>
      <c r="AY83" s="22"/>
      <c r="AZ83" s="22"/>
      <c r="BA83" s="22"/>
    </row>
    <row r="84" spans="1:53" ht="13.8"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2"/>
      <c r="AY84" s="22"/>
      <c r="AZ84" s="22"/>
      <c r="BA84" s="22"/>
    </row>
    <row r="85" spans="1:53" ht="13.8"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2"/>
      <c r="AY85" s="22"/>
      <c r="AZ85" s="22"/>
      <c r="BA85" s="22"/>
    </row>
    <row r="86" spans="1:53" ht="13.8"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2"/>
      <c r="AY86" s="22"/>
      <c r="AZ86" s="22"/>
      <c r="BA86" s="22"/>
    </row>
    <row r="87" spans="1:53" ht="13.8"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2"/>
      <c r="AY87" s="22"/>
      <c r="AZ87" s="22"/>
      <c r="BA87" s="22"/>
    </row>
    <row r="88" spans="1:53" ht="13.8"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2"/>
      <c r="AY88" s="22"/>
      <c r="AZ88" s="22"/>
      <c r="BA88" s="22"/>
    </row>
    <row r="89" spans="1:53" ht="13.8"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2"/>
      <c r="AY89" s="22"/>
      <c r="AZ89" s="22"/>
      <c r="BA89" s="22"/>
    </row>
    <row r="90" spans="1:53" ht="13.8"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2"/>
      <c r="AY90" s="22"/>
      <c r="AZ90" s="22"/>
      <c r="BA90" s="22"/>
    </row>
    <row r="91" spans="1:53" ht="13.8"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2"/>
      <c r="AY91" s="22"/>
      <c r="AZ91" s="22"/>
      <c r="BA91" s="22"/>
    </row>
    <row r="92" spans="1:53" ht="13.8"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2"/>
      <c r="AY92" s="22"/>
      <c r="AZ92" s="22"/>
      <c r="BA92" s="22"/>
    </row>
    <row r="93" spans="1:53" ht="13.8"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2"/>
      <c r="AY93" s="22"/>
      <c r="AZ93" s="22"/>
      <c r="BA93" s="22"/>
    </row>
    <row r="94" spans="1:53" ht="13.8"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2"/>
      <c r="AY94" s="22"/>
      <c r="AZ94" s="22"/>
      <c r="BA94" s="22"/>
    </row>
    <row r="95" spans="1:53" ht="13.8"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2"/>
      <c r="AY95" s="22"/>
      <c r="AZ95" s="22"/>
      <c r="BA95" s="22"/>
    </row>
    <row r="96" spans="1:53" ht="13.8"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2"/>
      <c r="AY96" s="22"/>
      <c r="AZ96" s="22"/>
      <c r="BA96" s="22"/>
    </row>
    <row r="97" spans="1:53" ht="13.8"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2"/>
      <c r="AY97" s="22"/>
      <c r="AZ97" s="22"/>
      <c r="BA97" s="22"/>
    </row>
    <row r="98" spans="1:53" ht="13.8"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2"/>
      <c r="AY98" s="22"/>
      <c r="AZ98" s="22"/>
      <c r="BA98" s="22"/>
    </row>
    <row r="99" spans="1:53" ht="13.8"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2"/>
      <c r="AY99" s="22"/>
      <c r="AZ99" s="22"/>
      <c r="BA99" s="22"/>
    </row>
    <row r="100" spans="1:53" ht="13.8"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2"/>
      <c r="AY100" s="22"/>
      <c r="AZ100" s="22"/>
      <c r="BA100" s="22"/>
    </row>
    <row r="101" spans="1:53" ht="13.8"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2"/>
      <c r="AY101" s="22"/>
      <c r="AZ101" s="22"/>
      <c r="BA101" s="22"/>
    </row>
    <row r="102" spans="1:53" ht="13.8"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2"/>
      <c r="AY102" s="22"/>
      <c r="AZ102" s="22"/>
      <c r="BA102" s="22"/>
    </row>
    <row r="103" spans="1:53" ht="13.8"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2"/>
      <c r="AY103" s="22"/>
      <c r="AZ103" s="22"/>
      <c r="BA103" s="22"/>
    </row>
    <row r="104" spans="1:53" ht="13.8"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2"/>
      <c r="AY104" s="22"/>
      <c r="AZ104" s="22"/>
      <c r="BA104" s="22"/>
    </row>
    <row r="105" spans="1:53" ht="13.8"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2"/>
      <c r="AY105" s="22"/>
      <c r="AZ105" s="22"/>
      <c r="BA105" s="22"/>
    </row>
    <row r="106" spans="1:53" ht="13.8"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2"/>
      <c r="AY106" s="22"/>
      <c r="AZ106" s="22"/>
      <c r="BA106" s="22"/>
    </row>
    <row r="107" spans="1:53" ht="13.8"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2"/>
      <c r="AY107" s="22"/>
      <c r="AZ107" s="22"/>
      <c r="BA107" s="22"/>
    </row>
    <row r="108" spans="1:53"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row>
    <row r="109" spans="1:53"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row>
    <row r="110" spans="1:53"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row>
    <row r="111" spans="1:53"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row>
    <row r="112" spans="1:53"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row>
    <row r="113" spans="1:53"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row>
    <row r="114" spans="1:53"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row>
    <row r="115" spans="1:53"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row>
    <row r="116" spans="1:53"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row>
    <row r="117" spans="1:53"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row>
    <row r="118" spans="1:53"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row>
    <row r="119" spans="1:53"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row>
    <row r="120" spans="1:53"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row>
    <row r="121" spans="1:53" x14ac:dyDescent="0.25">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row>
    <row r="122" spans="1:53" x14ac:dyDescent="0.25">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row>
    <row r="123" spans="1:53" x14ac:dyDescent="0.25">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row>
    <row r="124" spans="1:53" x14ac:dyDescent="0.25">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row>
    <row r="125" spans="1:53" x14ac:dyDescent="0.25">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row>
    <row r="126" spans="1:53" x14ac:dyDescent="0.25">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row>
    <row r="127" spans="1:53" x14ac:dyDescent="0.25">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row>
    <row r="128" spans="1:53" x14ac:dyDescent="0.25">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row>
    <row r="129" spans="17:53" x14ac:dyDescent="0.25">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row>
    <row r="130" spans="17:53" x14ac:dyDescent="0.25">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row>
    <row r="131" spans="17:53" x14ac:dyDescent="0.25">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row>
    <row r="132" spans="17:53" x14ac:dyDescent="0.25">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row>
    <row r="133" spans="17:53" x14ac:dyDescent="0.25">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row>
    <row r="134" spans="17:53" x14ac:dyDescent="0.25">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row>
    <row r="135" spans="17:53" x14ac:dyDescent="0.25">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row>
    <row r="136" spans="17:53" x14ac:dyDescent="0.25">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row>
    <row r="137" spans="17:53" x14ac:dyDescent="0.25">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row>
    <row r="138" spans="17:53" x14ac:dyDescent="0.25">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row>
    <row r="139" spans="17:53" x14ac:dyDescent="0.25">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row>
    <row r="140" spans="17:53" x14ac:dyDescent="0.25">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row>
    <row r="141" spans="17:53" x14ac:dyDescent="0.25">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row>
    <row r="142" spans="17:53" x14ac:dyDescent="0.25">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row>
    <row r="143" spans="17:53" x14ac:dyDescent="0.25">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row>
    <row r="144" spans="17:53" x14ac:dyDescent="0.25">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row>
    <row r="145" spans="17:53" x14ac:dyDescent="0.25">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row>
    <row r="146" spans="17:53" x14ac:dyDescent="0.25">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row>
    <row r="147" spans="17:53" x14ac:dyDescent="0.25">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row>
  </sheetData>
  <mergeCells count="42">
    <mergeCell ref="A46:L46"/>
    <mergeCell ref="A11:B11"/>
    <mergeCell ref="J10:K10"/>
    <mergeCell ref="D16:F16"/>
    <mergeCell ref="J12:K12"/>
    <mergeCell ref="G10:H10"/>
    <mergeCell ref="G13:H13"/>
    <mergeCell ref="J11:K11"/>
    <mergeCell ref="A14:L14"/>
    <mergeCell ref="A25:B25"/>
    <mergeCell ref="C25:E25"/>
    <mergeCell ref="F25:H25"/>
    <mergeCell ref="I25:J25"/>
    <mergeCell ref="A26:B26"/>
    <mergeCell ref="C26:E26"/>
    <mergeCell ref="A12:B12"/>
    <mergeCell ref="G9:H9"/>
    <mergeCell ref="D11:E11"/>
    <mergeCell ref="A6:L7"/>
    <mergeCell ref="A9:B9"/>
    <mergeCell ref="D9:E9"/>
    <mergeCell ref="A10:B10"/>
    <mergeCell ref="D10:E10"/>
    <mergeCell ref="J9:K9"/>
    <mergeCell ref="A2:B4"/>
    <mergeCell ref="C2:J2"/>
    <mergeCell ref="K2:L2"/>
    <mergeCell ref="C3:J3"/>
    <mergeCell ref="K3:L3"/>
    <mergeCell ref="C4:J4"/>
    <mergeCell ref="K4:L4"/>
    <mergeCell ref="E18:F18"/>
    <mergeCell ref="F26:H26"/>
    <mergeCell ref="I26:J26"/>
    <mergeCell ref="A23:B23"/>
    <mergeCell ref="C23:E23"/>
    <mergeCell ref="F23:H23"/>
    <mergeCell ref="I23:J23"/>
    <mergeCell ref="A24:B24"/>
    <mergeCell ref="C24:E24"/>
    <mergeCell ref="F24:H24"/>
    <mergeCell ref="I24:J24"/>
  </mergeCells>
  <hyperlinks>
    <hyperlink ref="A10" location="arribaUNOA" tooltip="Ir a esta hoja" display="1a   Análisis del mercado " xr:uid="{00000000-0004-0000-0000-000000000000}"/>
    <hyperlink ref="A10:B10" location="'1a. Misión, Visión'!Área_de_impresión" tooltip="Ir a esta hoja" display="  1a. Misión, Visión y Valores" xr:uid="{00000000-0004-0000-0000-000001000000}"/>
    <hyperlink ref="D10:E10" location="'2a. Análisis Foda'!Área_de_impresión" tooltip="Ir a esta hoja" display="  3a.  Análisis FODA" xr:uid="{00000000-0004-0000-0000-000002000000}"/>
    <hyperlink ref="D11:E11" location="'2b. Matriz Posicionamiento'!Área_de_impresión" tooltip="Ir a esta hoja" display="  3b.  Matriz Posicionamiento Estratégico" xr:uid="{00000000-0004-0000-0000-000003000000}"/>
    <hyperlink ref="G10:H10" location="'3a.Matríz de Partes Interesadas'!A1" tooltip="Ir a esta hoja" display="  3a. Matriz Partes Interesadas" xr:uid="{00000000-0004-0000-0000-000004000000}"/>
    <hyperlink ref="A11" location="arribaUNOA" tooltip="Ir a esta hoja" display="1a   Análisis del mercado " xr:uid="{00000000-0004-0000-0000-000005000000}"/>
    <hyperlink ref="A11:B11" location="'1b. Política y Objetivos'!A1" tooltip="Ir a esta hoja" display="  1b. Política de la Calidad y Objetivos de la Calidad" xr:uid="{00000000-0004-0000-0000-000006000000}"/>
    <hyperlink ref="J10:K10" location="'4b. Matriz - Contexto'!A1" tooltip="Ir a esta hoja" display="  3a. Matriz Partes Interesadas" xr:uid="{00000000-0004-0000-0000-000007000000}"/>
    <hyperlink ref="A12" location="arribaUNOA" tooltip="Ir a esta hoja" display="1a   Análisis del mercado " xr:uid="{00000000-0004-0000-0000-000008000000}"/>
    <hyperlink ref="A12:B12" location="'1c. Alcance del SGC'!Área_de_impresión" tooltip="Ir a esta hoja" display="  1c. Alcance del Sistema de Gestión de la Calidad" xr:uid="{00000000-0004-0000-0000-000009000000}"/>
  </hyperlinks>
  <printOptions horizontalCentered="1" verticalCentered="1"/>
  <pageMargins left="0.7" right="0.7" top="0.41488095238095241" bottom="0.75" header="0.3" footer="0.3"/>
  <pageSetup scale="71"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I191"/>
  <sheetViews>
    <sheetView showGridLines="0" showZeros="0" showOutlineSymbols="0" zoomScale="90" zoomScaleNormal="90" zoomScaleSheetLayoutView="100" zoomScalePageLayoutView="70" workbookViewId="0"/>
  </sheetViews>
  <sheetFormatPr baseColWidth="10" defaultColWidth="11.44140625" defaultRowHeight="13.2" x14ac:dyDescent="0.25"/>
  <cols>
    <col min="1" max="1" width="15.5546875" style="24" customWidth="1"/>
    <col min="2" max="2" width="10.6640625" style="23" customWidth="1"/>
    <col min="3" max="3" width="12.6640625" style="23" customWidth="1"/>
    <col min="4" max="7" width="11.88671875" style="23" customWidth="1"/>
    <col min="8" max="12" width="13.6640625" style="23" customWidth="1"/>
    <col min="13" max="13" width="11.88671875" style="23" customWidth="1"/>
    <col min="14" max="14" width="11.44140625" style="24"/>
    <col min="15" max="16384" width="11.44140625" style="23"/>
  </cols>
  <sheetData>
    <row r="1" spans="1:72" ht="30" customHeight="1" thickBot="1" x14ac:dyDescent="0.3">
      <c r="B1" s="369"/>
      <c r="C1" s="369"/>
      <c r="D1" s="370" t="s">
        <v>277</v>
      </c>
      <c r="E1" s="370"/>
      <c r="F1" s="370"/>
      <c r="G1" s="370"/>
      <c r="H1" s="370"/>
      <c r="I1" s="370"/>
      <c r="J1" s="370"/>
      <c r="K1" s="370"/>
      <c r="L1" s="387" t="s">
        <v>340</v>
      </c>
      <c r="M1" s="387"/>
    </row>
    <row r="2" spans="1:72" ht="30" customHeight="1" thickBot="1" x14ac:dyDescent="0.3">
      <c r="B2" s="369"/>
      <c r="C2" s="369"/>
      <c r="D2" s="370" t="s">
        <v>177</v>
      </c>
      <c r="E2" s="370"/>
      <c r="F2" s="370"/>
      <c r="G2" s="370"/>
      <c r="H2" s="370"/>
      <c r="I2" s="370"/>
      <c r="J2" s="370"/>
      <c r="K2" s="370"/>
      <c r="L2" s="388" t="s">
        <v>179</v>
      </c>
      <c r="M2" s="388"/>
    </row>
    <row r="3" spans="1:72" ht="30" customHeight="1" thickBot="1" x14ac:dyDescent="0.3">
      <c r="B3" s="369"/>
      <c r="C3" s="369"/>
      <c r="D3" s="373" t="s">
        <v>137</v>
      </c>
      <c r="E3" s="373"/>
      <c r="F3" s="373"/>
      <c r="G3" s="373"/>
      <c r="H3" s="373"/>
      <c r="I3" s="373"/>
      <c r="J3" s="373"/>
      <c r="K3" s="373"/>
      <c r="L3" s="389">
        <v>44279</v>
      </c>
      <c r="M3" s="389"/>
    </row>
    <row r="4" spans="1:72" ht="13.8" x14ac:dyDescent="0.25">
      <c r="B4" s="210"/>
      <c r="C4" s="210"/>
      <c r="D4" s="211"/>
      <c r="E4" s="211"/>
      <c r="F4" s="211"/>
      <c r="G4" s="211"/>
      <c r="H4" s="211"/>
      <c r="I4" s="211"/>
      <c r="J4" s="211"/>
      <c r="K4" s="211"/>
      <c r="L4" s="212"/>
      <c r="M4" s="212"/>
    </row>
    <row r="5" spans="1:72" ht="35.25" customHeight="1" x14ac:dyDescent="0.25">
      <c r="A5" s="19"/>
      <c r="B5" s="404" t="s">
        <v>133</v>
      </c>
      <c r="C5" s="404"/>
      <c r="D5" s="404"/>
      <c r="E5" s="404"/>
      <c r="F5" s="404"/>
      <c r="G5" s="404"/>
      <c r="H5" s="404"/>
      <c r="I5" s="404"/>
      <c r="J5" s="404"/>
      <c r="K5" s="404"/>
      <c r="L5" s="404"/>
      <c r="M5" s="404"/>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2"/>
      <c r="BT5" s="22"/>
    </row>
    <row r="6" spans="1:72" ht="24.9" customHeight="1" x14ac:dyDescent="0.25">
      <c r="A6" s="19"/>
      <c r="B6" s="405" t="s">
        <v>175</v>
      </c>
      <c r="C6" s="406"/>
      <c r="D6" s="406"/>
      <c r="E6" s="406"/>
      <c r="F6" s="406"/>
      <c r="G6" s="406"/>
      <c r="H6" s="406"/>
      <c r="I6" s="406"/>
      <c r="J6" s="406"/>
      <c r="K6" s="406"/>
      <c r="L6" s="406"/>
      <c r="M6" s="406"/>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2"/>
      <c r="BT6" s="22"/>
    </row>
    <row r="7" spans="1:72" ht="18" customHeight="1" x14ac:dyDescent="0.25">
      <c r="A7" s="19"/>
      <c r="B7" s="406"/>
      <c r="C7" s="406"/>
      <c r="D7" s="406"/>
      <c r="E7" s="406"/>
      <c r="F7" s="406"/>
      <c r="G7" s="406"/>
      <c r="H7" s="406"/>
      <c r="I7" s="406"/>
      <c r="J7" s="406"/>
      <c r="K7" s="406"/>
      <c r="L7" s="406"/>
      <c r="M7" s="406"/>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2"/>
      <c r="BT7" s="22"/>
    </row>
    <row r="8" spans="1:72" ht="18" customHeight="1" x14ac:dyDescent="0.25">
      <c r="A8" s="19"/>
      <c r="B8" s="406"/>
      <c r="C8" s="406"/>
      <c r="D8" s="406"/>
      <c r="E8" s="406"/>
      <c r="F8" s="406"/>
      <c r="G8" s="406"/>
      <c r="H8" s="406"/>
      <c r="I8" s="406"/>
      <c r="J8" s="406"/>
      <c r="K8" s="406"/>
      <c r="L8" s="406"/>
      <c r="M8" s="406"/>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2"/>
      <c r="BT8" s="22"/>
    </row>
    <row r="9" spans="1:72" ht="43.5" customHeight="1" x14ac:dyDescent="0.25">
      <c r="A9" s="19"/>
      <c r="B9" s="406"/>
      <c r="C9" s="406"/>
      <c r="D9" s="406"/>
      <c r="E9" s="406"/>
      <c r="F9" s="406"/>
      <c r="G9" s="406"/>
      <c r="H9" s="406"/>
      <c r="I9" s="406"/>
      <c r="J9" s="406"/>
      <c r="K9" s="406"/>
      <c r="L9" s="406"/>
      <c r="M9" s="406"/>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2"/>
      <c r="BT9" s="22"/>
    </row>
    <row r="10" spans="1:72" ht="30" customHeight="1" x14ac:dyDescent="0.25">
      <c r="A10" s="19"/>
      <c r="B10" s="407" t="s">
        <v>140</v>
      </c>
      <c r="C10" s="408"/>
      <c r="D10" s="408"/>
      <c r="E10" s="408"/>
      <c r="F10" s="408"/>
      <c r="G10" s="408"/>
      <c r="H10" s="408"/>
      <c r="I10" s="408"/>
      <c r="J10" s="408"/>
      <c r="K10" s="408"/>
      <c r="L10" s="408"/>
      <c r="M10" s="408"/>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2"/>
      <c r="BT10" s="22"/>
    </row>
    <row r="11" spans="1:72" ht="30" customHeight="1" thickBot="1" x14ac:dyDescent="0.3">
      <c r="A11" s="19"/>
      <c r="B11" s="90"/>
      <c r="C11" s="91"/>
      <c r="D11" s="92"/>
      <c r="E11" s="92"/>
      <c r="F11" s="92"/>
      <c r="G11" s="92"/>
      <c r="H11" s="92"/>
      <c r="I11" s="92"/>
      <c r="J11" s="92"/>
      <c r="K11" s="92"/>
      <c r="L11" s="92"/>
      <c r="M11" s="93"/>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2"/>
      <c r="BT11" s="22"/>
    </row>
    <row r="12" spans="1:72" ht="30" customHeight="1" x14ac:dyDescent="0.3">
      <c r="A12" s="19"/>
      <c r="B12" s="90"/>
      <c r="C12" s="390" t="s">
        <v>443</v>
      </c>
      <c r="D12" s="391"/>
      <c r="E12" s="391"/>
      <c r="F12" s="391"/>
      <c r="G12" s="391"/>
      <c r="H12" s="395" t="s">
        <v>132</v>
      </c>
      <c r="I12" s="396"/>
      <c r="J12" s="396"/>
      <c r="K12" s="396"/>
      <c r="L12" s="397"/>
      <c r="M12" s="94"/>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2"/>
      <c r="BT12" s="22"/>
    </row>
    <row r="13" spans="1:72" ht="30" customHeight="1" x14ac:dyDescent="0.25">
      <c r="A13" s="19"/>
      <c r="B13" s="90"/>
      <c r="C13" s="392" t="s">
        <v>442</v>
      </c>
      <c r="D13" s="393"/>
      <c r="E13" s="393"/>
      <c r="F13" s="393"/>
      <c r="G13" s="393"/>
      <c r="H13" s="398"/>
      <c r="I13" s="399"/>
      <c r="J13" s="399"/>
      <c r="K13" s="399"/>
      <c r="L13" s="400"/>
      <c r="M13" s="94"/>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2"/>
      <c r="BT13" s="22"/>
    </row>
    <row r="14" spans="1:72" ht="30" customHeight="1" thickBot="1" x14ac:dyDescent="0.3">
      <c r="A14" s="19"/>
      <c r="B14" s="90"/>
      <c r="C14" s="392"/>
      <c r="D14" s="393"/>
      <c r="E14" s="393"/>
      <c r="F14" s="393"/>
      <c r="G14" s="393"/>
      <c r="H14" s="401"/>
      <c r="I14" s="402"/>
      <c r="J14" s="402"/>
      <c r="K14" s="402"/>
      <c r="L14" s="403"/>
      <c r="M14" s="94"/>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2"/>
      <c r="BT14" s="22"/>
    </row>
    <row r="15" spans="1:72" ht="30" customHeight="1" x14ac:dyDescent="0.3">
      <c r="A15" s="19"/>
      <c r="B15" s="90"/>
      <c r="C15" s="390" t="s">
        <v>131</v>
      </c>
      <c r="D15" s="391"/>
      <c r="E15" s="391"/>
      <c r="F15" s="391"/>
      <c r="G15" s="391"/>
      <c r="H15" s="395" t="s">
        <v>130</v>
      </c>
      <c r="I15" s="396"/>
      <c r="J15" s="396"/>
      <c r="K15" s="396"/>
      <c r="L15" s="397"/>
      <c r="M15" s="94"/>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2"/>
      <c r="BT15" s="22"/>
    </row>
    <row r="16" spans="1:72" ht="30" customHeight="1" x14ac:dyDescent="0.25">
      <c r="A16" s="19"/>
      <c r="B16" s="90"/>
      <c r="C16" s="392" t="s">
        <v>324</v>
      </c>
      <c r="D16" s="393"/>
      <c r="E16" s="393"/>
      <c r="F16" s="393"/>
      <c r="G16" s="394"/>
      <c r="H16" s="398" t="s">
        <v>129</v>
      </c>
      <c r="I16" s="399"/>
      <c r="J16" s="399"/>
      <c r="K16" s="399"/>
      <c r="L16" s="400"/>
      <c r="M16" s="94"/>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2"/>
      <c r="BT16" s="22"/>
    </row>
    <row r="17" spans="1:72" ht="30" customHeight="1" x14ac:dyDescent="0.25">
      <c r="A17" s="19"/>
      <c r="B17" s="90"/>
      <c r="C17" s="392"/>
      <c r="D17" s="393"/>
      <c r="E17" s="393"/>
      <c r="F17" s="393"/>
      <c r="G17" s="394"/>
      <c r="H17" s="398" t="s">
        <v>128</v>
      </c>
      <c r="I17" s="399"/>
      <c r="J17" s="399"/>
      <c r="K17" s="399"/>
      <c r="L17" s="400"/>
      <c r="M17" s="94"/>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2"/>
      <c r="BT17" s="22"/>
    </row>
    <row r="18" spans="1:72" ht="30" customHeight="1" thickBot="1" x14ac:dyDescent="0.3">
      <c r="A18" s="19"/>
      <c r="B18" s="90"/>
      <c r="C18" s="392"/>
      <c r="D18" s="393"/>
      <c r="E18" s="393"/>
      <c r="F18" s="393"/>
      <c r="G18" s="394"/>
      <c r="H18" s="401" t="s">
        <v>127</v>
      </c>
      <c r="I18" s="402"/>
      <c r="J18" s="402"/>
      <c r="K18" s="402"/>
      <c r="L18" s="403"/>
      <c r="M18" s="94"/>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2"/>
      <c r="BT18" s="22"/>
    </row>
    <row r="19" spans="1:72" ht="30" customHeight="1" x14ac:dyDescent="0.3">
      <c r="A19" s="19"/>
      <c r="B19" s="90"/>
      <c r="C19" s="390" t="s">
        <v>126</v>
      </c>
      <c r="D19" s="391"/>
      <c r="E19" s="391"/>
      <c r="F19" s="391"/>
      <c r="G19" s="391"/>
      <c r="H19" s="395" t="s">
        <v>125</v>
      </c>
      <c r="I19" s="396"/>
      <c r="J19" s="396"/>
      <c r="K19" s="396"/>
      <c r="L19" s="397"/>
      <c r="M19" s="94"/>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2"/>
      <c r="BT19" s="22"/>
    </row>
    <row r="20" spans="1:72" ht="58.2" customHeight="1" thickBot="1" x14ac:dyDescent="0.3">
      <c r="A20" s="19"/>
      <c r="B20" s="90"/>
      <c r="C20" s="392" t="s">
        <v>325</v>
      </c>
      <c r="D20" s="393"/>
      <c r="E20" s="393"/>
      <c r="F20" s="393"/>
      <c r="G20" s="394"/>
      <c r="H20" s="401" t="s">
        <v>124</v>
      </c>
      <c r="I20" s="402"/>
      <c r="J20" s="402"/>
      <c r="K20" s="402"/>
      <c r="L20" s="403"/>
      <c r="M20" s="94"/>
      <c r="N20" s="21"/>
      <c r="O20" s="13" t="s">
        <v>123</v>
      </c>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2"/>
      <c r="BT20" s="22"/>
    </row>
    <row r="21" spans="1:72" ht="30" customHeight="1" x14ac:dyDescent="0.25">
      <c r="A21" s="19"/>
      <c r="B21" s="19"/>
      <c r="C21" s="19"/>
      <c r="D21" s="19"/>
      <c r="E21" s="19"/>
      <c r="F21" s="19"/>
      <c r="G21" s="19"/>
      <c r="H21" s="19"/>
      <c r="I21" s="19"/>
      <c r="J21" s="19"/>
      <c r="K21" s="19"/>
      <c r="L21" s="19"/>
      <c r="M21" s="19"/>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2"/>
      <c r="BT21" s="22"/>
    </row>
    <row r="22" spans="1:72" ht="30" customHeight="1" x14ac:dyDescent="0.25">
      <c r="A22" s="19"/>
      <c r="B22" s="19"/>
      <c r="C22" s="19"/>
      <c r="D22" s="19"/>
      <c r="E22" s="19"/>
      <c r="F22" s="19"/>
      <c r="G22" s="19"/>
      <c r="H22" s="19"/>
      <c r="I22" s="19"/>
      <c r="J22" s="19"/>
      <c r="K22" s="19"/>
      <c r="L22" s="19"/>
      <c r="M22" s="19"/>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2"/>
      <c r="BT22" s="22"/>
    </row>
    <row r="23" spans="1:72" ht="30" customHeight="1" x14ac:dyDescent="0.25">
      <c r="A23" s="19"/>
      <c r="B23" s="19"/>
      <c r="C23" s="19"/>
      <c r="D23" s="19"/>
      <c r="E23" s="19"/>
      <c r="F23" s="19"/>
      <c r="G23" s="19"/>
      <c r="H23" s="19"/>
      <c r="I23" s="19"/>
      <c r="J23" s="19"/>
      <c r="K23" s="19"/>
      <c r="L23" s="19"/>
      <c r="M23" s="19"/>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2"/>
      <c r="BT23" s="22"/>
    </row>
    <row r="24" spans="1:72" ht="13.8" x14ac:dyDescent="0.25">
      <c r="A24" s="19"/>
      <c r="B24" s="19"/>
      <c r="C24" s="19"/>
      <c r="D24" s="19"/>
      <c r="E24" s="19"/>
      <c r="F24" s="19"/>
      <c r="G24" s="19"/>
      <c r="H24" s="19"/>
      <c r="I24" s="19"/>
      <c r="J24" s="19"/>
      <c r="K24" s="19"/>
      <c r="L24" s="19"/>
      <c r="M24" s="19"/>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2"/>
      <c r="BT24" s="22"/>
    </row>
    <row r="25" spans="1:72" ht="13.8" x14ac:dyDescent="0.25">
      <c r="A25" s="19"/>
      <c r="B25" s="19"/>
      <c r="C25" s="19"/>
      <c r="D25" s="19"/>
      <c r="E25" s="19"/>
      <c r="F25" s="19"/>
      <c r="G25" s="19"/>
      <c r="H25" s="19"/>
      <c r="I25" s="19"/>
      <c r="J25" s="19"/>
      <c r="K25" s="19"/>
      <c r="L25" s="19"/>
      <c r="M25" s="19"/>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2"/>
      <c r="BT25" s="22"/>
    </row>
    <row r="26" spans="1:72" ht="13.8" x14ac:dyDescent="0.25">
      <c r="A26" s="19"/>
      <c r="B26" s="19"/>
      <c r="C26" s="19"/>
      <c r="D26" s="19"/>
      <c r="E26" s="19"/>
      <c r="F26" s="19"/>
      <c r="G26" s="19"/>
      <c r="H26" s="19"/>
      <c r="I26" s="19"/>
      <c r="J26" s="19"/>
      <c r="K26" s="19"/>
      <c r="L26" s="19"/>
      <c r="M26" s="19"/>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2"/>
      <c r="BT26" s="22"/>
    </row>
    <row r="27" spans="1:72" ht="13.8" x14ac:dyDescent="0.25">
      <c r="A27" s="19"/>
      <c r="B27" s="19"/>
      <c r="C27" s="19"/>
      <c r="D27" s="19"/>
      <c r="E27" s="19"/>
      <c r="F27" s="19"/>
      <c r="G27" s="19"/>
      <c r="H27" s="19"/>
      <c r="I27" s="19"/>
      <c r="J27" s="19"/>
      <c r="K27" s="19"/>
      <c r="L27" s="19"/>
      <c r="M27" s="19"/>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2"/>
      <c r="BT27" s="22"/>
    </row>
    <row r="28" spans="1:72" ht="13.8" x14ac:dyDescent="0.25">
      <c r="A28" s="19"/>
      <c r="B28" s="19"/>
      <c r="C28" s="19"/>
      <c r="D28" s="19"/>
      <c r="E28" s="19"/>
      <c r="F28" s="19"/>
      <c r="G28" s="19"/>
      <c r="H28" s="19"/>
      <c r="I28" s="19"/>
      <c r="J28" s="19"/>
      <c r="K28" s="19"/>
      <c r="L28" s="19"/>
      <c r="M28" s="19"/>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2"/>
      <c r="BT28" s="22"/>
    </row>
    <row r="29" spans="1:72" ht="13.8" x14ac:dyDescent="0.25">
      <c r="A29" s="19"/>
      <c r="B29" s="19"/>
      <c r="C29" s="19"/>
      <c r="D29" s="19"/>
      <c r="E29" s="19"/>
      <c r="F29" s="19"/>
      <c r="G29" s="19"/>
      <c r="H29" s="19"/>
      <c r="I29" s="19"/>
      <c r="J29" s="19"/>
      <c r="K29" s="19"/>
      <c r="L29" s="19"/>
      <c r="M29" s="19"/>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2"/>
      <c r="BT29" s="22"/>
    </row>
    <row r="30" spans="1:72" ht="13.8" x14ac:dyDescent="0.25">
      <c r="A30" s="19"/>
      <c r="B30" s="19"/>
      <c r="C30" s="19"/>
      <c r="D30" s="19"/>
      <c r="E30" s="19"/>
      <c r="F30" s="19"/>
      <c r="G30" s="19"/>
      <c r="H30" s="19"/>
      <c r="I30" s="19"/>
      <c r="J30" s="19"/>
      <c r="K30" s="19"/>
      <c r="L30" s="19"/>
      <c r="M30" s="19"/>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2"/>
      <c r="BT30" s="22"/>
    </row>
    <row r="31" spans="1:72" ht="13.8" x14ac:dyDescent="0.25">
      <c r="A31" s="19"/>
      <c r="B31" s="19"/>
      <c r="C31" s="19"/>
      <c r="D31" s="19"/>
      <c r="E31" s="19"/>
      <c r="F31" s="19"/>
      <c r="G31" s="19"/>
      <c r="H31" s="19"/>
      <c r="I31" s="19"/>
      <c r="J31" s="19"/>
      <c r="K31" s="19"/>
      <c r="L31" s="19"/>
      <c r="M31" s="19"/>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2"/>
      <c r="BT31" s="22"/>
    </row>
    <row r="32" spans="1:72" ht="13.8" x14ac:dyDescent="0.25">
      <c r="A32" s="19"/>
      <c r="B32" s="19"/>
      <c r="C32" s="19"/>
      <c r="D32" s="19"/>
      <c r="E32" s="19"/>
      <c r="F32" s="19"/>
      <c r="G32" s="19"/>
      <c r="H32" s="19"/>
      <c r="I32" s="19"/>
      <c r="J32" s="19"/>
      <c r="K32" s="19"/>
      <c r="L32" s="19"/>
      <c r="M32" s="19"/>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2"/>
      <c r="BT32" s="22"/>
    </row>
    <row r="33" spans="1:72" ht="13.8" x14ac:dyDescent="0.25">
      <c r="A33" s="19"/>
      <c r="B33" s="19"/>
      <c r="C33" s="19"/>
      <c r="D33" s="19"/>
      <c r="E33" s="19"/>
      <c r="F33" s="19"/>
      <c r="G33" s="19"/>
      <c r="H33" s="19"/>
      <c r="I33" s="19"/>
      <c r="J33" s="19"/>
      <c r="K33" s="19"/>
      <c r="L33" s="19"/>
      <c r="M33" s="19"/>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2"/>
      <c r="BT33" s="22"/>
    </row>
    <row r="34" spans="1:72" ht="13.8" x14ac:dyDescent="0.25">
      <c r="A34" s="19"/>
      <c r="B34" s="19"/>
      <c r="C34" s="19"/>
      <c r="D34" s="19"/>
      <c r="E34" s="19"/>
      <c r="F34" s="19"/>
      <c r="G34" s="19"/>
      <c r="H34" s="19"/>
      <c r="I34" s="19"/>
      <c r="J34" s="19"/>
      <c r="K34" s="19"/>
      <c r="L34" s="19"/>
      <c r="M34" s="19"/>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2"/>
      <c r="BT34" s="22"/>
    </row>
    <row r="35" spans="1:72" ht="13.8" x14ac:dyDescent="0.25">
      <c r="A35" s="19"/>
      <c r="B35" s="19"/>
      <c r="C35" s="19"/>
      <c r="D35" s="19"/>
      <c r="E35" s="19"/>
      <c r="F35" s="19"/>
      <c r="G35" s="19"/>
      <c r="H35" s="19"/>
      <c r="I35" s="19"/>
      <c r="J35" s="19"/>
      <c r="K35" s="19"/>
      <c r="L35" s="19"/>
      <c r="M35" s="19"/>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2"/>
      <c r="BT35" s="22"/>
    </row>
    <row r="36" spans="1:72" ht="13.8" x14ac:dyDescent="0.25">
      <c r="A36" s="19"/>
      <c r="B36" s="19"/>
      <c r="C36" s="19"/>
      <c r="D36" s="19"/>
      <c r="E36" s="19"/>
      <c r="F36" s="19"/>
      <c r="G36" s="19"/>
      <c r="H36" s="19"/>
      <c r="I36" s="19"/>
      <c r="J36" s="19"/>
      <c r="K36" s="19"/>
      <c r="L36" s="19"/>
      <c r="M36" s="19"/>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2"/>
      <c r="BT36" s="22"/>
    </row>
    <row r="37" spans="1:72" ht="13.8" x14ac:dyDescent="0.25">
      <c r="A37" s="19"/>
      <c r="B37" s="19"/>
      <c r="C37" s="19"/>
      <c r="D37" s="19"/>
      <c r="E37" s="19"/>
      <c r="F37" s="19"/>
      <c r="G37" s="19"/>
      <c r="H37" s="19"/>
      <c r="I37" s="19"/>
      <c r="J37" s="19"/>
      <c r="K37" s="19"/>
      <c r="L37" s="19"/>
      <c r="M37" s="19"/>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2"/>
      <c r="BT37" s="22"/>
    </row>
    <row r="38" spans="1:72" ht="13.8" x14ac:dyDescent="0.25">
      <c r="A38" s="19"/>
      <c r="B38" s="19"/>
      <c r="C38" s="21"/>
      <c r="D38" s="19"/>
      <c r="E38" s="19"/>
      <c r="F38" s="19"/>
      <c r="G38" s="19"/>
      <c r="H38" s="19"/>
      <c r="I38" s="19"/>
      <c r="J38" s="19"/>
      <c r="K38" s="19"/>
      <c r="L38" s="19"/>
      <c r="M38" s="19"/>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2"/>
      <c r="BT38" s="22"/>
    </row>
    <row r="39" spans="1:72" ht="13.8"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2"/>
      <c r="BT39" s="22"/>
    </row>
    <row r="40" spans="1:72" ht="13.8"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2"/>
      <c r="BT40" s="22"/>
    </row>
    <row r="41" spans="1:72" ht="13.8"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2"/>
      <c r="BT41" s="22"/>
    </row>
    <row r="42" spans="1:72" ht="13.8"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2"/>
      <c r="BT42" s="22"/>
    </row>
    <row r="43" spans="1:72" ht="13.8"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2"/>
      <c r="BT43" s="22"/>
    </row>
    <row r="44" spans="1:72" ht="13.8"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2"/>
      <c r="BT44" s="22"/>
    </row>
    <row r="45" spans="1:72" ht="13.8"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2"/>
      <c r="BT45" s="22"/>
    </row>
    <row r="46" spans="1:72" ht="13.8"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2"/>
      <c r="BT46" s="22"/>
    </row>
    <row r="47" spans="1:72" ht="13.8"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2"/>
      <c r="BT47" s="22"/>
    </row>
    <row r="48" spans="1:72" ht="13.8"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2"/>
      <c r="BT48" s="22"/>
    </row>
    <row r="49" spans="1:87" ht="13.8"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2"/>
      <c r="BT49" s="22"/>
    </row>
    <row r="50" spans="1:87" ht="13.8"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2"/>
      <c r="BT50" s="22"/>
    </row>
    <row r="51" spans="1:87" ht="13.8"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2"/>
      <c r="BT51" s="22"/>
    </row>
    <row r="52" spans="1:87" ht="13.8"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2"/>
      <c r="BT52" s="22"/>
    </row>
    <row r="53" spans="1:87" ht="13.8"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2"/>
      <c r="BT53" s="22"/>
    </row>
    <row r="54" spans="1:87" ht="13.8"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2"/>
      <c r="BT54" s="22"/>
    </row>
    <row r="55" spans="1:87" ht="13.8"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2"/>
      <c r="BT55" s="22"/>
      <c r="BU55" s="22"/>
      <c r="BV55" s="22"/>
      <c r="BW55" s="22"/>
      <c r="BX55" s="22"/>
      <c r="BY55" s="22"/>
      <c r="BZ55" s="22"/>
      <c r="CA55" s="22"/>
      <c r="CB55" s="22"/>
      <c r="CC55" s="22"/>
      <c r="CD55" s="22"/>
      <c r="CE55" s="22"/>
      <c r="CF55" s="22"/>
      <c r="CG55" s="22"/>
      <c r="CH55" s="22"/>
      <c r="CI55" s="22"/>
    </row>
    <row r="56" spans="1:87" ht="13.8"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2"/>
      <c r="BT56" s="22"/>
      <c r="BU56" s="22"/>
      <c r="BV56" s="22"/>
      <c r="BW56" s="22"/>
      <c r="BX56" s="22"/>
      <c r="BY56" s="22"/>
      <c r="BZ56" s="22"/>
      <c r="CA56" s="22"/>
      <c r="CB56" s="22"/>
      <c r="CC56" s="22"/>
      <c r="CD56" s="22"/>
      <c r="CE56" s="22"/>
      <c r="CF56" s="22"/>
      <c r="CG56" s="22"/>
      <c r="CH56" s="22"/>
      <c r="CI56" s="22"/>
    </row>
    <row r="57" spans="1:87" ht="13.8"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2"/>
      <c r="BT57" s="22"/>
      <c r="BU57" s="22"/>
      <c r="BV57" s="22"/>
      <c r="BW57" s="22"/>
      <c r="BX57" s="22"/>
      <c r="BY57" s="22"/>
      <c r="BZ57" s="22"/>
      <c r="CA57" s="22"/>
      <c r="CB57" s="22"/>
      <c r="CC57" s="22"/>
      <c r="CD57" s="22"/>
      <c r="CE57" s="22"/>
      <c r="CF57" s="22"/>
      <c r="CG57" s="22"/>
      <c r="CH57" s="22"/>
      <c r="CI57" s="22"/>
    </row>
    <row r="58" spans="1:87" ht="13.8"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2"/>
      <c r="BT58" s="22"/>
      <c r="BU58" s="22"/>
      <c r="BV58" s="22"/>
      <c r="BW58" s="22"/>
      <c r="BX58" s="22"/>
      <c r="BY58" s="22"/>
      <c r="BZ58" s="22"/>
      <c r="CA58" s="22"/>
      <c r="CB58" s="22"/>
      <c r="CC58" s="22"/>
      <c r="CD58" s="22"/>
      <c r="CE58" s="22"/>
      <c r="CF58" s="22"/>
      <c r="CG58" s="22"/>
      <c r="CH58" s="22"/>
      <c r="CI58" s="22"/>
    </row>
    <row r="59" spans="1:87" ht="13.8"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2"/>
      <c r="BT59" s="22"/>
      <c r="BU59" s="22"/>
      <c r="BV59" s="22"/>
      <c r="BW59" s="22"/>
      <c r="BX59" s="22"/>
      <c r="BY59" s="22"/>
      <c r="BZ59" s="22"/>
      <c r="CA59" s="22"/>
      <c r="CB59" s="22"/>
      <c r="CC59" s="22"/>
      <c r="CD59" s="22"/>
      <c r="CE59" s="22"/>
      <c r="CF59" s="22"/>
      <c r="CG59" s="22"/>
      <c r="CH59" s="22"/>
      <c r="CI59" s="22"/>
    </row>
    <row r="60" spans="1:87" ht="13.8"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2"/>
      <c r="BT60" s="22"/>
      <c r="BU60" s="22"/>
      <c r="BV60" s="22"/>
      <c r="BW60" s="22"/>
      <c r="BX60" s="22"/>
      <c r="BY60" s="22"/>
      <c r="BZ60" s="22"/>
      <c r="CA60" s="22"/>
      <c r="CB60" s="22"/>
      <c r="CC60" s="22"/>
      <c r="CD60" s="22"/>
      <c r="CE60" s="22"/>
      <c r="CF60" s="22"/>
      <c r="CG60" s="22"/>
      <c r="CH60" s="22"/>
      <c r="CI60" s="22"/>
    </row>
    <row r="61" spans="1:87" ht="13.8"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2"/>
      <c r="BT61" s="22"/>
      <c r="BU61" s="22"/>
      <c r="BV61" s="22"/>
      <c r="BW61" s="22"/>
      <c r="BX61" s="22"/>
      <c r="BY61" s="22"/>
      <c r="BZ61" s="22"/>
      <c r="CA61" s="22"/>
      <c r="CB61" s="22"/>
      <c r="CC61" s="22"/>
      <c r="CD61" s="22"/>
      <c r="CE61" s="22"/>
      <c r="CF61" s="22"/>
      <c r="CG61" s="22"/>
      <c r="CH61" s="22"/>
      <c r="CI61" s="22"/>
    </row>
    <row r="62" spans="1:87" ht="13.8"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2"/>
      <c r="BT62" s="22"/>
      <c r="BU62" s="22"/>
      <c r="BV62" s="22"/>
      <c r="BW62" s="22"/>
      <c r="BX62" s="22"/>
      <c r="BY62" s="22"/>
      <c r="BZ62" s="22"/>
      <c r="CA62" s="22"/>
      <c r="CB62" s="22"/>
      <c r="CC62" s="22"/>
      <c r="CD62" s="22"/>
      <c r="CE62" s="22"/>
      <c r="CF62" s="22"/>
      <c r="CG62" s="22"/>
      <c r="CH62" s="22"/>
      <c r="CI62" s="22"/>
    </row>
    <row r="63" spans="1:87" ht="13.8"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2"/>
      <c r="BT63" s="22"/>
      <c r="BU63" s="22"/>
      <c r="BV63" s="22"/>
      <c r="BW63" s="22"/>
      <c r="BX63" s="22"/>
      <c r="BY63" s="22"/>
      <c r="BZ63" s="22"/>
      <c r="CA63" s="22"/>
      <c r="CB63" s="22"/>
      <c r="CC63" s="22"/>
      <c r="CD63" s="22"/>
      <c r="CE63" s="22"/>
      <c r="CF63" s="22"/>
      <c r="CG63" s="22"/>
      <c r="CH63" s="22"/>
      <c r="CI63" s="22"/>
    </row>
    <row r="64" spans="1:87" ht="13.8"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2"/>
      <c r="BT64" s="22"/>
      <c r="BU64" s="22"/>
      <c r="BV64" s="22"/>
      <c r="BW64" s="22"/>
      <c r="BX64" s="22"/>
      <c r="BY64" s="22"/>
      <c r="BZ64" s="22"/>
      <c r="CA64" s="22"/>
      <c r="CB64" s="22"/>
      <c r="CC64" s="22"/>
      <c r="CD64" s="22"/>
      <c r="CE64" s="22"/>
      <c r="CF64" s="22"/>
      <c r="CG64" s="22"/>
      <c r="CH64" s="22"/>
      <c r="CI64" s="22"/>
    </row>
    <row r="65" spans="1:87" ht="13.8"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2"/>
      <c r="BT65" s="22"/>
      <c r="BU65" s="22"/>
      <c r="BV65" s="22"/>
      <c r="BW65" s="22"/>
      <c r="BX65" s="22"/>
      <c r="BY65" s="22"/>
      <c r="BZ65" s="22"/>
      <c r="CA65" s="22"/>
      <c r="CB65" s="22"/>
      <c r="CC65" s="22"/>
      <c r="CD65" s="22"/>
      <c r="CE65" s="22"/>
      <c r="CF65" s="22"/>
      <c r="CG65" s="22"/>
      <c r="CH65" s="22"/>
      <c r="CI65" s="22"/>
    </row>
    <row r="66" spans="1:87" ht="13.8"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2"/>
      <c r="BT66" s="22"/>
      <c r="BU66" s="22"/>
      <c r="BV66" s="22"/>
      <c r="BW66" s="22"/>
      <c r="BX66" s="22"/>
      <c r="BY66" s="22"/>
      <c r="BZ66" s="22"/>
      <c r="CA66" s="22"/>
      <c r="CB66" s="22"/>
      <c r="CC66" s="22"/>
      <c r="CD66" s="22"/>
      <c r="CE66" s="22"/>
      <c r="CF66" s="22"/>
      <c r="CG66" s="22"/>
      <c r="CH66" s="22"/>
      <c r="CI66" s="22"/>
    </row>
    <row r="67" spans="1:87" ht="13.8"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2"/>
      <c r="BT67" s="22"/>
      <c r="BU67" s="22"/>
      <c r="BV67" s="22"/>
      <c r="BW67" s="22"/>
      <c r="BX67" s="22"/>
      <c r="BY67" s="22"/>
      <c r="BZ67" s="22"/>
      <c r="CA67" s="22"/>
      <c r="CB67" s="22"/>
      <c r="CC67" s="22"/>
      <c r="CD67" s="22"/>
      <c r="CE67" s="22"/>
      <c r="CF67" s="22"/>
      <c r="CG67" s="22"/>
      <c r="CH67" s="22"/>
      <c r="CI67" s="22"/>
    </row>
    <row r="68" spans="1:87" ht="13.8"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2"/>
      <c r="BT68" s="22"/>
      <c r="BU68" s="22"/>
      <c r="BV68" s="22"/>
      <c r="BW68" s="22"/>
      <c r="BX68" s="22"/>
      <c r="BY68" s="22"/>
      <c r="BZ68" s="22"/>
      <c r="CA68" s="22"/>
      <c r="CB68" s="22"/>
      <c r="CC68" s="22"/>
      <c r="CD68" s="22"/>
      <c r="CE68" s="22"/>
      <c r="CF68" s="22"/>
      <c r="CG68" s="22"/>
      <c r="CH68" s="22"/>
      <c r="CI68" s="22"/>
    </row>
    <row r="69" spans="1:87" ht="13.8"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2"/>
      <c r="BT69" s="22"/>
      <c r="BU69" s="22"/>
      <c r="BV69" s="22"/>
      <c r="BW69" s="22"/>
      <c r="BX69" s="22"/>
      <c r="BY69" s="22"/>
      <c r="BZ69" s="22"/>
      <c r="CA69" s="22"/>
      <c r="CB69" s="22"/>
      <c r="CC69" s="22"/>
      <c r="CD69" s="22"/>
      <c r="CE69" s="22"/>
      <c r="CF69" s="22"/>
      <c r="CG69" s="22"/>
      <c r="CH69" s="22"/>
      <c r="CI69" s="22"/>
    </row>
    <row r="70" spans="1:87" ht="13.8"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2"/>
      <c r="BT70" s="22"/>
      <c r="BU70" s="22"/>
      <c r="BV70" s="22"/>
      <c r="BW70" s="22"/>
      <c r="BX70" s="22"/>
      <c r="BY70" s="22"/>
      <c r="BZ70" s="22"/>
      <c r="CA70" s="22"/>
      <c r="CB70" s="22"/>
      <c r="CC70" s="22"/>
      <c r="CD70" s="22"/>
      <c r="CE70" s="22"/>
      <c r="CF70" s="22"/>
      <c r="CG70" s="22"/>
      <c r="CH70" s="22"/>
      <c r="CI70" s="22"/>
    </row>
    <row r="71" spans="1:87" ht="13.8"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2"/>
      <c r="BT71" s="22"/>
      <c r="BU71" s="22"/>
      <c r="BV71" s="22"/>
      <c r="BW71" s="22"/>
      <c r="BX71" s="22"/>
      <c r="BY71" s="22"/>
      <c r="BZ71" s="22"/>
      <c r="CA71" s="22"/>
      <c r="CB71" s="22"/>
      <c r="CC71" s="22"/>
      <c r="CD71" s="22"/>
      <c r="CE71" s="22"/>
      <c r="CF71" s="22"/>
      <c r="CG71" s="22"/>
      <c r="CH71" s="22"/>
      <c r="CI71" s="22"/>
    </row>
    <row r="72" spans="1:87" ht="13.8"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2"/>
      <c r="BT72" s="22"/>
      <c r="BU72" s="22"/>
      <c r="BV72" s="22"/>
      <c r="BW72" s="22"/>
      <c r="BX72" s="22"/>
      <c r="BY72" s="22"/>
      <c r="BZ72" s="22"/>
      <c r="CA72" s="22"/>
      <c r="CB72" s="22"/>
      <c r="CC72" s="22"/>
      <c r="CD72" s="22"/>
      <c r="CE72" s="22"/>
      <c r="CF72" s="22"/>
      <c r="CG72" s="22"/>
      <c r="CH72" s="22"/>
      <c r="CI72" s="22"/>
    </row>
    <row r="73" spans="1:87" ht="13.8"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2"/>
      <c r="BT73" s="22"/>
      <c r="BU73" s="22"/>
      <c r="BV73" s="22"/>
      <c r="BW73" s="22"/>
      <c r="BX73" s="22"/>
      <c r="BY73" s="22"/>
      <c r="BZ73" s="22"/>
      <c r="CA73" s="22"/>
      <c r="CB73" s="22"/>
      <c r="CC73" s="22"/>
      <c r="CD73" s="22"/>
      <c r="CE73" s="22"/>
      <c r="CF73" s="22"/>
      <c r="CG73" s="22"/>
      <c r="CH73" s="22"/>
      <c r="CI73" s="22"/>
    </row>
    <row r="74" spans="1:87" ht="13.8"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2"/>
      <c r="BT74" s="22"/>
      <c r="BU74" s="22"/>
      <c r="BV74" s="22"/>
      <c r="BW74" s="22"/>
      <c r="BX74" s="22"/>
      <c r="BY74" s="22"/>
      <c r="BZ74" s="22"/>
      <c r="CA74" s="22"/>
      <c r="CB74" s="22"/>
      <c r="CC74" s="22"/>
      <c r="CD74" s="22"/>
      <c r="CE74" s="22"/>
      <c r="CF74" s="22"/>
      <c r="CG74" s="22"/>
      <c r="CH74" s="22"/>
      <c r="CI74" s="22"/>
    </row>
    <row r="75" spans="1:87" ht="13.8"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2"/>
      <c r="BT75" s="22"/>
      <c r="BU75" s="22"/>
      <c r="BV75" s="22"/>
      <c r="BW75" s="22"/>
      <c r="BX75" s="22"/>
      <c r="BY75" s="22"/>
      <c r="BZ75" s="22"/>
      <c r="CA75" s="22"/>
      <c r="CB75" s="22"/>
      <c r="CC75" s="22"/>
      <c r="CD75" s="22"/>
      <c r="CE75" s="22"/>
      <c r="CF75" s="22"/>
      <c r="CG75" s="22"/>
      <c r="CH75" s="22"/>
      <c r="CI75" s="22"/>
    </row>
    <row r="76" spans="1:87" ht="13.8"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2"/>
      <c r="BT76" s="22"/>
      <c r="BU76" s="22"/>
      <c r="BV76" s="22"/>
      <c r="BW76" s="22"/>
      <c r="BX76" s="22"/>
      <c r="BY76" s="22"/>
      <c r="BZ76" s="22"/>
      <c r="CA76" s="22"/>
      <c r="CB76" s="22"/>
      <c r="CC76" s="22"/>
      <c r="CD76" s="22"/>
      <c r="CE76" s="22"/>
      <c r="CF76" s="22"/>
      <c r="CG76" s="22"/>
      <c r="CH76" s="22"/>
      <c r="CI76" s="22"/>
    </row>
    <row r="77" spans="1:87" ht="13.8"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2"/>
      <c r="BT77" s="22"/>
      <c r="BU77" s="22"/>
      <c r="BV77" s="22"/>
      <c r="BW77" s="22"/>
      <c r="BX77" s="22"/>
      <c r="BY77" s="22"/>
      <c r="BZ77" s="22"/>
      <c r="CA77" s="22"/>
      <c r="CB77" s="22"/>
      <c r="CC77" s="22"/>
      <c r="CD77" s="22"/>
      <c r="CE77" s="22"/>
      <c r="CF77" s="22"/>
      <c r="CG77" s="22"/>
      <c r="CH77" s="22"/>
      <c r="CI77" s="22"/>
    </row>
    <row r="78" spans="1:87" ht="13.8"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2"/>
      <c r="BT78" s="22"/>
      <c r="BU78" s="22"/>
      <c r="BV78" s="22"/>
      <c r="BW78" s="22"/>
      <c r="BX78" s="22"/>
      <c r="BY78" s="22"/>
      <c r="BZ78" s="22"/>
      <c r="CA78" s="22"/>
      <c r="CB78" s="22"/>
      <c r="CC78" s="22"/>
      <c r="CD78" s="22"/>
      <c r="CE78" s="22"/>
      <c r="CF78" s="22"/>
      <c r="CG78" s="22"/>
      <c r="CH78" s="22"/>
      <c r="CI78" s="22"/>
    </row>
    <row r="79" spans="1:87" ht="13.8"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2"/>
      <c r="BT79" s="22"/>
      <c r="BU79" s="22"/>
      <c r="BV79" s="22"/>
      <c r="BW79" s="22"/>
      <c r="BX79" s="22"/>
      <c r="BY79" s="22"/>
      <c r="BZ79" s="22"/>
      <c r="CA79" s="22"/>
      <c r="CB79" s="22"/>
      <c r="CC79" s="22"/>
      <c r="CD79" s="22"/>
      <c r="CE79" s="22"/>
      <c r="CF79" s="22"/>
      <c r="CG79" s="22"/>
      <c r="CH79" s="22"/>
      <c r="CI79" s="22"/>
    </row>
    <row r="80" spans="1:87" ht="13.8"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2"/>
      <c r="BT80" s="22"/>
      <c r="BU80" s="22"/>
      <c r="BV80" s="22"/>
      <c r="BW80" s="22"/>
      <c r="BX80" s="22"/>
      <c r="BY80" s="22"/>
      <c r="BZ80" s="22"/>
      <c r="CA80" s="22"/>
      <c r="CB80" s="22"/>
      <c r="CC80" s="22"/>
      <c r="CD80" s="22"/>
      <c r="CE80" s="22"/>
      <c r="CF80" s="22"/>
      <c r="CG80" s="22"/>
      <c r="CH80" s="22"/>
      <c r="CI80" s="22"/>
    </row>
    <row r="81" spans="1:87" ht="13.8"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2"/>
      <c r="BT81" s="22"/>
      <c r="BU81" s="22"/>
      <c r="BV81" s="22"/>
      <c r="BW81" s="22"/>
      <c r="BX81" s="22"/>
      <c r="BY81" s="22"/>
      <c r="BZ81" s="22"/>
      <c r="CA81" s="22"/>
      <c r="CB81" s="22"/>
      <c r="CC81" s="22"/>
      <c r="CD81" s="22"/>
      <c r="CE81" s="22"/>
      <c r="CF81" s="22"/>
      <c r="CG81" s="22"/>
      <c r="CH81" s="22"/>
      <c r="CI81" s="22"/>
    </row>
    <row r="82" spans="1:87" ht="13.8"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2"/>
      <c r="BT82" s="22"/>
      <c r="BU82" s="22"/>
      <c r="BV82" s="22"/>
      <c r="BW82" s="22"/>
      <c r="BX82" s="22"/>
      <c r="BY82" s="22"/>
      <c r="BZ82" s="22"/>
      <c r="CA82" s="22"/>
      <c r="CB82" s="22"/>
      <c r="CC82" s="22"/>
      <c r="CD82" s="22"/>
      <c r="CE82" s="22"/>
      <c r="CF82" s="22"/>
      <c r="CG82" s="22"/>
      <c r="CH82" s="22"/>
      <c r="CI82" s="22"/>
    </row>
    <row r="83" spans="1:87" ht="13.8"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2"/>
      <c r="BT83" s="22"/>
      <c r="BU83" s="22"/>
      <c r="BV83" s="22"/>
      <c r="BW83" s="22"/>
      <c r="BX83" s="22"/>
      <c r="BY83" s="22"/>
      <c r="BZ83" s="22"/>
      <c r="CA83" s="22"/>
      <c r="CB83" s="22"/>
      <c r="CC83" s="22"/>
      <c r="CD83" s="22"/>
      <c r="CE83" s="22"/>
      <c r="CF83" s="22"/>
      <c r="CG83" s="22"/>
      <c r="CH83" s="22"/>
      <c r="CI83" s="22"/>
    </row>
    <row r="84" spans="1:87" ht="13.8"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2"/>
      <c r="BT84" s="22"/>
      <c r="BU84" s="22"/>
      <c r="BV84" s="22"/>
      <c r="BW84" s="22"/>
      <c r="BX84" s="22"/>
      <c r="BY84" s="22"/>
      <c r="BZ84" s="22"/>
      <c r="CA84" s="22"/>
      <c r="CB84" s="22"/>
      <c r="CC84" s="22"/>
      <c r="CD84" s="22"/>
      <c r="CE84" s="22"/>
      <c r="CF84" s="22"/>
      <c r="CG84" s="22"/>
      <c r="CH84" s="22"/>
      <c r="CI84" s="22"/>
    </row>
    <row r="85" spans="1:87" ht="13.8"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2"/>
      <c r="BT85" s="22"/>
      <c r="BU85" s="22"/>
      <c r="BV85" s="22"/>
      <c r="BW85" s="22"/>
      <c r="BX85" s="22"/>
      <c r="BY85" s="22"/>
      <c r="BZ85" s="22"/>
      <c r="CA85" s="22"/>
      <c r="CB85" s="22"/>
      <c r="CC85" s="22"/>
      <c r="CD85" s="22"/>
      <c r="CE85" s="22"/>
      <c r="CF85" s="22"/>
      <c r="CG85" s="22"/>
      <c r="CH85" s="22"/>
      <c r="CI85" s="22"/>
    </row>
    <row r="86" spans="1:87" ht="13.8"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2"/>
      <c r="BT86" s="22"/>
      <c r="BU86" s="22"/>
      <c r="BV86" s="22"/>
      <c r="BW86" s="22"/>
      <c r="BX86" s="22"/>
      <c r="BY86" s="22"/>
      <c r="BZ86" s="22"/>
      <c r="CA86" s="22"/>
      <c r="CB86" s="22"/>
      <c r="CC86" s="22"/>
      <c r="CD86" s="22"/>
      <c r="CE86" s="22"/>
      <c r="CF86" s="22"/>
      <c r="CG86" s="22"/>
      <c r="CH86" s="22"/>
      <c r="CI86" s="22"/>
    </row>
    <row r="87" spans="1:87" ht="13.8"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2"/>
      <c r="BT87" s="22"/>
      <c r="BU87" s="22"/>
      <c r="BV87" s="22"/>
      <c r="BW87" s="22"/>
      <c r="BX87" s="22"/>
      <c r="BY87" s="22"/>
      <c r="BZ87" s="22"/>
      <c r="CA87" s="22"/>
      <c r="CB87" s="22"/>
      <c r="CC87" s="22"/>
      <c r="CD87" s="22"/>
      <c r="CE87" s="22"/>
      <c r="CF87" s="22"/>
      <c r="CG87" s="22"/>
      <c r="CH87" s="22"/>
      <c r="CI87" s="22"/>
    </row>
    <row r="88" spans="1:87" ht="13.8"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2"/>
      <c r="BT88" s="22"/>
      <c r="BU88" s="22"/>
      <c r="BV88" s="22"/>
      <c r="BW88" s="22"/>
      <c r="BX88" s="22"/>
      <c r="BY88" s="22"/>
      <c r="BZ88" s="22"/>
      <c r="CA88" s="22"/>
      <c r="CB88" s="22"/>
      <c r="CC88" s="22"/>
      <c r="CD88" s="22"/>
      <c r="CE88" s="22"/>
      <c r="CF88" s="22"/>
      <c r="CG88" s="22"/>
      <c r="CH88" s="22"/>
      <c r="CI88" s="22"/>
    </row>
    <row r="89" spans="1:87" ht="13.8"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2"/>
      <c r="BT89" s="22"/>
      <c r="BU89" s="22"/>
      <c r="BV89" s="22"/>
      <c r="BW89" s="22"/>
      <c r="BX89" s="22"/>
      <c r="BY89" s="22"/>
      <c r="BZ89" s="22"/>
      <c r="CA89" s="22"/>
      <c r="CB89" s="22"/>
      <c r="CC89" s="22"/>
      <c r="CD89" s="22"/>
      <c r="CE89" s="22"/>
      <c r="CF89" s="22"/>
      <c r="CG89" s="22"/>
      <c r="CH89" s="22"/>
      <c r="CI89" s="22"/>
    </row>
    <row r="90" spans="1:87" ht="13.8"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2"/>
      <c r="BT90" s="22"/>
      <c r="BU90" s="22"/>
      <c r="BV90" s="22"/>
      <c r="BW90" s="22"/>
      <c r="BX90" s="22"/>
      <c r="BY90" s="22"/>
      <c r="BZ90" s="22"/>
      <c r="CA90" s="22"/>
      <c r="CB90" s="22"/>
      <c r="CC90" s="22"/>
      <c r="CD90" s="22"/>
      <c r="CE90" s="22"/>
      <c r="CF90" s="22"/>
      <c r="CG90" s="22"/>
      <c r="CH90" s="22"/>
      <c r="CI90" s="22"/>
    </row>
    <row r="91" spans="1:87" ht="13.8"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2"/>
      <c r="BT91" s="22"/>
      <c r="BU91" s="22"/>
      <c r="BV91" s="22"/>
      <c r="BW91" s="22"/>
      <c r="BX91" s="22"/>
      <c r="BY91" s="22"/>
      <c r="BZ91" s="22"/>
      <c r="CA91" s="22"/>
      <c r="CB91" s="22"/>
      <c r="CC91" s="22"/>
      <c r="CD91" s="22"/>
      <c r="CE91" s="22"/>
      <c r="CF91" s="22"/>
      <c r="CG91" s="22"/>
      <c r="CH91" s="22"/>
      <c r="CI91" s="22"/>
    </row>
    <row r="92" spans="1:87" ht="13.8"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2"/>
      <c r="BT92" s="22"/>
      <c r="BU92" s="22"/>
      <c r="BV92" s="22"/>
      <c r="BW92" s="22"/>
      <c r="BX92" s="22"/>
      <c r="BY92" s="22"/>
      <c r="BZ92" s="22"/>
      <c r="CA92" s="22"/>
      <c r="CB92" s="22"/>
      <c r="CC92" s="22"/>
      <c r="CD92" s="22"/>
      <c r="CE92" s="22"/>
      <c r="CF92" s="22"/>
      <c r="CG92" s="22"/>
      <c r="CH92" s="22"/>
      <c r="CI92" s="22"/>
    </row>
    <row r="93" spans="1:87" ht="13.8"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2"/>
      <c r="BT93" s="22"/>
      <c r="BU93" s="22"/>
      <c r="BV93" s="22"/>
      <c r="BW93" s="22"/>
      <c r="BX93" s="22"/>
      <c r="BY93" s="22"/>
      <c r="BZ93" s="22"/>
      <c r="CA93" s="22"/>
      <c r="CB93" s="22"/>
      <c r="CC93" s="22"/>
      <c r="CD93" s="22"/>
      <c r="CE93" s="22"/>
      <c r="CF93" s="22"/>
      <c r="CG93" s="22"/>
      <c r="CH93" s="22"/>
      <c r="CI93" s="22"/>
    </row>
    <row r="94" spans="1:87" ht="13.8"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2"/>
      <c r="BT94" s="22"/>
      <c r="BU94" s="22"/>
      <c r="BV94" s="22"/>
      <c r="BW94" s="22"/>
      <c r="BX94" s="22"/>
      <c r="BY94" s="22"/>
      <c r="BZ94" s="22"/>
      <c r="CA94" s="22"/>
      <c r="CB94" s="22"/>
      <c r="CC94" s="22"/>
      <c r="CD94" s="22"/>
      <c r="CE94" s="22"/>
      <c r="CF94" s="22"/>
      <c r="CG94" s="22"/>
      <c r="CH94" s="22"/>
      <c r="CI94" s="22"/>
    </row>
    <row r="95" spans="1:87" ht="13.8"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2"/>
      <c r="BT95" s="22"/>
      <c r="BU95" s="22"/>
      <c r="BV95" s="22"/>
      <c r="BW95" s="22"/>
      <c r="BX95" s="22"/>
      <c r="BY95" s="22"/>
      <c r="BZ95" s="22"/>
      <c r="CA95" s="22"/>
      <c r="CB95" s="22"/>
      <c r="CC95" s="22"/>
      <c r="CD95" s="22"/>
      <c r="CE95" s="22"/>
      <c r="CF95" s="22"/>
      <c r="CG95" s="22"/>
      <c r="CH95" s="22"/>
      <c r="CI95" s="22"/>
    </row>
    <row r="96" spans="1:87" ht="13.8"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2"/>
      <c r="BT96" s="22"/>
      <c r="BU96" s="22"/>
      <c r="BV96" s="22"/>
      <c r="BW96" s="22"/>
      <c r="BX96" s="22"/>
      <c r="BY96" s="22"/>
      <c r="BZ96" s="22"/>
      <c r="CA96" s="22"/>
      <c r="CB96" s="22"/>
      <c r="CC96" s="22"/>
      <c r="CD96" s="22"/>
      <c r="CE96" s="22"/>
      <c r="CF96" s="22"/>
      <c r="CG96" s="22"/>
      <c r="CH96" s="22"/>
      <c r="CI96" s="22"/>
    </row>
    <row r="97" spans="1:87" ht="13.8"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2"/>
      <c r="BT97" s="22"/>
      <c r="BU97" s="22"/>
      <c r="BV97" s="22"/>
      <c r="BW97" s="22"/>
      <c r="BX97" s="22"/>
      <c r="BY97" s="22"/>
      <c r="BZ97" s="22"/>
      <c r="CA97" s="22"/>
      <c r="CB97" s="22"/>
      <c r="CC97" s="22"/>
      <c r="CD97" s="22"/>
      <c r="CE97" s="22"/>
      <c r="CF97" s="22"/>
      <c r="CG97" s="22"/>
      <c r="CH97" s="22"/>
      <c r="CI97" s="22"/>
    </row>
    <row r="98" spans="1:87" ht="13.8"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2"/>
      <c r="BT98" s="22"/>
      <c r="BU98" s="22"/>
      <c r="BV98" s="22"/>
      <c r="BW98" s="22"/>
      <c r="BX98" s="22"/>
      <c r="BY98" s="22"/>
      <c r="BZ98" s="22"/>
      <c r="CA98" s="22"/>
      <c r="CB98" s="22"/>
      <c r="CC98" s="22"/>
      <c r="CD98" s="22"/>
      <c r="CE98" s="22"/>
      <c r="CF98" s="22"/>
      <c r="CG98" s="22"/>
      <c r="CH98" s="22"/>
      <c r="CI98" s="22"/>
    </row>
    <row r="99" spans="1:87" ht="13.8"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2"/>
      <c r="BT99" s="22"/>
      <c r="BU99" s="22"/>
      <c r="BV99" s="22"/>
      <c r="BW99" s="22"/>
      <c r="BX99" s="22"/>
      <c r="BY99" s="22"/>
      <c r="BZ99" s="22"/>
      <c r="CA99" s="22"/>
      <c r="CB99" s="22"/>
      <c r="CC99" s="22"/>
      <c r="CD99" s="22"/>
      <c r="CE99" s="22"/>
      <c r="CF99" s="22"/>
      <c r="CG99" s="22"/>
      <c r="CH99" s="22"/>
      <c r="CI99" s="22"/>
    </row>
    <row r="100" spans="1:87" ht="13.8"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2"/>
      <c r="BT100" s="22"/>
      <c r="BU100" s="22"/>
      <c r="BV100" s="22"/>
      <c r="BW100" s="22"/>
      <c r="BX100" s="22"/>
      <c r="BY100" s="22"/>
      <c r="BZ100" s="22"/>
      <c r="CA100" s="22"/>
      <c r="CB100" s="22"/>
      <c r="CC100" s="22"/>
      <c r="CD100" s="22"/>
      <c r="CE100" s="22"/>
      <c r="CF100" s="22"/>
      <c r="CG100" s="22"/>
      <c r="CH100" s="22"/>
      <c r="CI100" s="22"/>
    </row>
    <row r="101" spans="1:87" ht="13.8"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2"/>
      <c r="BT101" s="22"/>
      <c r="BU101" s="22"/>
      <c r="BV101" s="22"/>
      <c r="BW101" s="22"/>
      <c r="BX101" s="22"/>
      <c r="BY101" s="22"/>
      <c r="BZ101" s="22"/>
      <c r="CA101" s="22"/>
      <c r="CB101" s="22"/>
      <c r="CC101" s="22"/>
      <c r="CD101" s="22"/>
      <c r="CE101" s="22"/>
      <c r="CF101" s="22"/>
      <c r="CG101" s="22"/>
      <c r="CH101" s="22"/>
      <c r="CI101" s="22"/>
    </row>
    <row r="102" spans="1:87" ht="13.8"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2"/>
      <c r="BT102" s="22"/>
      <c r="BU102" s="22"/>
      <c r="BV102" s="22"/>
      <c r="BW102" s="22"/>
      <c r="BX102" s="22"/>
      <c r="BY102" s="22"/>
      <c r="BZ102" s="22"/>
      <c r="CA102" s="22"/>
      <c r="CB102" s="22"/>
      <c r="CC102" s="22"/>
      <c r="CD102" s="22"/>
      <c r="CE102" s="22"/>
      <c r="CF102" s="22"/>
      <c r="CG102" s="22"/>
      <c r="CH102" s="22"/>
      <c r="CI102" s="22"/>
    </row>
    <row r="103" spans="1:87" ht="13.8"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2"/>
      <c r="BT103" s="22"/>
      <c r="BU103" s="22"/>
      <c r="BV103" s="22"/>
      <c r="BW103" s="22"/>
      <c r="BX103" s="22"/>
      <c r="BY103" s="22"/>
      <c r="BZ103" s="22"/>
      <c r="CA103" s="22"/>
      <c r="CB103" s="22"/>
      <c r="CC103" s="22"/>
      <c r="CD103" s="22"/>
      <c r="CE103" s="22"/>
      <c r="CF103" s="22"/>
      <c r="CG103" s="22"/>
      <c r="CH103" s="22"/>
      <c r="CI103" s="22"/>
    </row>
    <row r="104" spans="1:87" ht="13.8"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2"/>
      <c r="BT104" s="22"/>
      <c r="BU104" s="22"/>
      <c r="BV104" s="22"/>
      <c r="BW104" s="22"/>
      <c r="BX104" s="22"/>
      <c r="BY104" s="22"/>
      <c r="BZ104" s="22"/>
      <c r="CA104" s="22"/>
      <c r="CB104" s="22"/>
      <c r="CC104" s="22"/>
      <c r="CD104" s="22"/>
      <c r="CE104" s="22"/>
      <c r="CF104" s="22"/>
      <c r="CG104" s="22"/>
      <c r="CH104" s="22"/>
      <c r="CI104" s="22"/>
    </row>
    <row r="105" spans="1:87" ht="13.8"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2"/>
      <c r="BT105" s="22"/>
      <c r="BU105" s="22"/>
      <c r="BV105" s="22"/>
      <c r="BW105" s="22"/>
      <c r="BX105" s="22"/>
      <c r="BY105" s="22"/>
      <c r="BZ105" s="22"/>
      <c r="CA105" s="22"/>
      <c r="CB105" s="22"/>
      <c r="CC105" s="22"/>
      <c r="CD105" s="22"/>
      <c r="CE105" s="22"/>
      <c r="CF105" s="22"/>
      <c r="CG105" s="22"/>
      <c r="CH105" s="22"/>
      <c r="CI105" s="22"/>
    </row>
    <row r="106" spans="1:87" ht="13.8"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2"/>
      <c r="BT106" s="22"/>
      <c r="BU106" s="22"/>
      <c r="BV106" s="22"/>
      <c r="BW106" s="22"/>
      <c r="BX106" s="22"/>
      <c r="BY106" s="22"/>
      <c r="BZ106" s="22"/>
      <c r="CA106" s="22"/>
      <c r="CB106" s="22"/>
      <c r="CC106" s="22"/>
      <c r="CD106" s="22"/>
      <c r="CE106" s="22"/>
      <c r="CF106" s="22"/>
      <c r="CG106" s="22"/>
      <c r="CH106" s="22"/>
      <c r="CI106" s="22"/>
    </row>
    <row r="107" spans="1:87" ht="13.8"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2"/>
      <c r="BT107" s="22"/>
      <c r="BU107" s="22"/>
      <c r="BV107" s="22"/>
      <c r="BW107" s="22"/>
      <c r="BX107" s="22"/>
      <c r="BY107" s="22"/>
      <c r="BZ107" s="22"/>
      <c r="CA107" s="22"/>
      <c r="CB107" s="22"/>
      <c r="CC107" s="22"/>
      <c r="CD107" s="22"/>
      <c r="CE107" s="22"/>
      <c r="CF107" s="22"/>
      <c r="CG107" s="22"/>
      <c r="CH107" s="22"/>
      <c r="CI107" s="22"/>
    </row>
    <row r="108" spans="1:87" ht="13.8"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2"/>
      <c r="BT108" s="22"/>
      <c r="BU108" s="22"/>
      <c r="BV108" s="22"/>
      <c r="BW108" s="22"/>
      <c r="BX108" s="22"/>
      <c r="BY108" s="22"/>
      <c r="BZ108" s="22"/>
      <c r="CA108" s="22"/>
      <c r="CB108" s="22"/>
      <c r="CC108" s="22"/>
      <c r="CD108" s="22"/>
      <c r="CE108" s="22"/>
      <c r="CF108" s="22"/>
      <c r="CG108" s="22"/>
      <c r="CH108" s="22"/>
      <c r="CI108" s="22"/>
    </row>
    <row r="109" spans="1:87" ht="13.8"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2"/>
      <c r="BT109" s="22"/>
      <c r="BU109" s="22"/>
      <c r="BV109" s="22"/>
      <c r="BW109" s="22"/>
      <c r="BX109" s="22"/>
      <c r="BY109" s="22"/>
      <c r="BZ109" s="22"/>
      <c r="CA109" s="22"/>
      <c r="CB109" s="22"/>
      <c r="CC109" s="22"/>
      <c r="CD109" s="22"/>
      <c r="CE109" s="22"/>
      <c r="CF109" s="22"/>
      <c r="CG109" s="22"/>
      <c r="CH109" s="22"/>
      <c r="CI109" s="22"/>
    </row>
    <row r="110" spans="1:87" ht="13.8"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2"/>
      <c r="BT110" s="22"/>
      <c r="BU110" s="22"/>
      <c r="BV110" s="22"/>
      <c r="BW110" s="22"/>
      <c r="BX110" s="22"/>
      <c r="BY110" s="22"/>
      <c r="BZ110" s="22"/>
      <c r="CA110" s="22"/>
      <c r="CB110" s="22"/>
      <c r="CC110" s="22"/>
      <c r="CD110" s="22"/>
      <c r="CE110" s="22"/>
      <c r="CF110" s="22"/>
      <c r="CG110" s="22"/>
      <c r="CH110" s="22"/>
      <c r="CI110" s="22"/>
    </row>
    <row r="111" spans="1:87" ht="13.8"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2"/>
      <c r="BT111" s="22"/>
      <c r="BU111" s="22"/>
      <c r="BV111" s="22"/>
      <c r="BW111" s="22"/>
      <c r="BX111" s="22"/>
      <c r="BY111" s="22"/>
      <c r="BZ111" s="22"/>
      <c r="CA111" s="22"/>
      <c r="CB111" s="22"/>
      <c r="CC111" s="22"/>
      <c r="CD111" s="22"/>
      <c r="CE111" s="22"/>
      <c r="CF111" s="22"/>
      <c r="CG111" s="22"/>
      <c r="CH111" s="22"/>
      <c r="CI111" s="22"/>
    </row>
    <row r="112" spans="1:87" ht="13.8"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2"/>
      <c r="BT112" s="22"/>
      <c r="BU112" s="22"/>
      <c r="BV112" s="22"/>
      <c r="BW112" s="22"/>
      <c r="BX112" s="22"/>
      <c r="BY112" s="22"/>
      <c r="BZ112" s="22"/>
      <c r="CA112" s="22"/>
      <c r="CB112" s="22"/>
      <c r="CC112" s="22"/>
      <c r="CD112" s="22"/>
      <c r="CE112" s="22"/>
      <c r="CF112" s="22"/>
      <c r="CG112" s="22"/>
      <c r="CH112" s="22"/>
      <c r="CI112" s="22"/>
    </row>
    <row r="113" spans="1:87" ht="13.8"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2"/>
      <c r="BT113" s="22"/>
      <c r="BU113" s="22"/>
      <c r="BV113" s="22"/>
      <c r="BW113" s="22"/>
      <c r="BX113" s="22"/>
      <c r="BY113" s="22"/>
      <c r="BZ113" s="22"/>
      <c r="CA113" s="22"/>
      <c r="CB113" s="22"/>
      <c r="CC113" s="22"/>
      <c r="CD113" s="22"/>
      <c r="CE113" s="22"/>
      <c r="CF113" s="22"/>
      <c r="CG113" s="22"/>
      <c r="CH113" s="22"/>
      <c r="CI113" s="22"/>
    </row>
    <row r="114" spans="1:87" ht="13.8"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2"/>
      <c r="BT114" s="22"/>
      <c r="BU114" s="22"/>
      <c r="BV114" s="22"/>
      <c r="BW114" s="22"/>
      <c r="BX114" s="22"/>
      <c r="BY114" s="22"/>
      <c r="BZ114" s="22"/>
      <c r="CA114" s="22"/>
      <c r="CB114" s="22"/>
      <c r="CC114" s="22"/>
      <c r="CD114" s="22"/>
      <c r="CE114" s="22"/>
      <c r="CF114" s="22"/>
      <c r="CG114" s="22"/>
      <c r="CH114" s="22"/>
      <c r="CI114" s="22"/>
    </row>
    <row r="115" spans="1:87" ht="13.8"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2"/>
      <c r="BT115" s="22"/>
      <c r="BU115" s="22"/>
      <c r="BV115" s="22"/>
      <c r="BW115" s="22"/>
      <c r="BX115" s="22"/>
      <c r="BY115" s="22"/>
      <c r="BZ115" s="22"/>
      <c r="CA115" s="22"/>
      <c r="CB115" s="22"/>
      <c r="CC115" s="22"/>
      <c r="CD115" s="22"/>
      <c r="CE115" s="22"/>
      <c r="CF115" s="22"/>
      <c r="CG115" s="22"/>
      <c r="CH115" s="22"/>
      <c r="CI115" s="22"/>
    </row>
    <row r="116" spans="1:87" ht="13.8"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2"/>
      <c r="BT116" s="22"/>
      <c r="BU116" s="22"/>
      <c r="BV116" s="22"/>
      <c r="BW116" s="22"/>
      <c r="BX116" s="22"/>
      <c r="BY116" s="22"/>
      <c r="BZ116" s="22"/>
      <c r="CA116" s="22"/>
      <c r="CB116" s="22"/>
      <c r="CC116" s="22"/>
      <c r="CD116" s="22"/>
      <c r="CE116" s="22"/>
      <c r="CF116" s="22"/>
      <c r="CG116" s="22"/>
      <c r="CH116" s="22"/>
      <c r="CI116" s="22"/>
    </row>
    <row r="117" spans="1:87" ht="13.8"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2"/>
      <c r="BT117" s="22"/>
      <c r="BU117" s="22"/>
      <c r="BV117" s="22"/>
      <c r="BW117" s="22"/>
      <c r="BX117" s="22"/>
      <c r="BY117" s="22"/>
      <c r="BZ117" s="22"/>
      <c r="CA117" s="22"/>
      <c r="CB117" s="22"/>
      <c r="CC117" s="22"/>
      <c r="CD117" s="22"/>
      <c r="CE117" s="22"/>
      <c r="CF117" s="22"/>
      <c r="CG117" s="22"/>
      <c r="CH117" s="22"/>
      <c r="CI117" s="22"/>
    </row>
    <row r="118" spans="1:87" ht="13.8"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2"/>
      <c r="BT118" s="22"/>
      <c r="BU118" s="22"/>
      <c r="BV118" s="22"/>
      <c r="BW118" s="22"/>
      <c r="BX118" s="22"/>
      <c r="BY118" s="22"/>
      <c r="BZ118" s="22"/>
      <c r="CA118" s="22"/>
      <c r="CB118" s="22"/>
      <c r="CC118" s="22"/>
      <c r="CD118" s="22"/>
      <c r="CE118" s="22"/>
      <c r="CF118" s="22"/>
      <c r="CG118" s="22"/>
      <c r="CH118" s="22"/>
      <c r="CI118" s="22"/>
    </row>
    <row r="119" spans="1:87" ht="13.8"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2"/>
      <c r="BT119" s="22"/>
      <c r="BU119" s="22"/>
      <c r="BV119" s="22"/>
      <c r="BW119" s="22"/>
      <c r="BX119" s="22"/>
      <c r="BY119" s="22"/>
      <c r="BZ119" s="22"/>
      <c r="CA119" s="22"/>
      <c r="CB119" s="22"/>
      <c r="CC119" s="22"/>
      <c r="CD119" s="22"/>
      <c r="CE119" s="22"/>
      <c r="CF119" s="22"/>
      <c r="CG119" s="22"/>
      <c r="CH119" s="22"/>
      <c r="CI119" s="22"/>
    </row>
    <row r="120" spans="1:87" ht="13.8"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2"/>
      <c r="BT120" s="22"/>
      <c r="BU120" s="22"/>
      <c r="BV120" s="22"/>
      <c r="BW120" s="22"/>
      <c r="BX120" s="22"/>
      <c r="BY120" s="22"/>
      <c r="BZ120" s="22"/>
      <c r="CA120" s="22"/>
      <c r="CB120" s="22"/>
      <c r="CC120" s="22"/>
      <c r="CD120" s="22"/>
      <c r="CE120" s="22"/>
      <c r="CF120" s="22"/>
      <c r="CG120" s="22"/>
      <c r="CH120" s="22"/>
      <c r="CI120" s="22"/>
    </row>
    <row r="121" spans="1:87" ht="13.8"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2"/>
      <c r="BT121" s="22"/>
      <c r="BU121" s="22"/>
      <c r="BV121" s="22"/>
      <c r="BW121" s="22"/>
      <c r="BX121" s="22"/>
      <c r="BY121" s="22"/>
      <c r="BZ121" s="22"/>
      <c r="CA121" s="22"/>
      <c r="CB121" s="22"/>
      <c r="CC121" s="22"/>
      <c r="CD121" s="22"/>
      <c r="CE121" s="22"/>
      <c r="CF121" s="22"/>
      <c r="CG121" s="22"/>
      <c r="CH121" s="22"/>
      <c r="CI121" s="22"/>
    </row>
    <row r="122" spans="1:87" ht="13.8"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2"/>
      <c r="BT122" s="22"/>
      <c r="BU122" s="22"/>
      <c r="BV122" s="22"/>
      <c r="BW122" s="22"/>
      <c r="BX122" s="22"/>
      <c r="BY122" s="22"/>
      <c r="BZ122" s="22"/>
      <c r="CA122" s="22"/>
      <c r="CB122" s="22"/>
      <c r="CC122" s="22"/>
      <c r="CD122" s="22"/>
      <c r="CE122" s="22"/>
      <c r="CF122" s="22"/>
      <c r="CG122" s="22"/>
      <c r="CH122" s="22"/>
      <c r="CI122" s="22"/>
    </row>
    <row r="123" spans="1:87" ht="13.8"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2"/>
      <c r="BT123" s="22"/>
      <c r="BU123" s="22"/>
      <c r="BV123" s="22"/>
      <c r="BW123" s="22"/>
      <c r="BX123" s="22"/>
      <c r="BY123" s="22"/>
      <c r="BZ123" s="22"/>
      <c r="CA123" s="22"/>
      <c r="CB123" s="22"/>
      <c r="CC123" s="22"/>
      <c r="CD123" s="22"/>
      <c r="CE123" s="22"/>
      <c r="CF123" s="22"/>
      <c r="CG123" s="22"/>
      <c r="CH123" s="22"/>
      <c r="CI123" s="22"/>
    </row>
    <row r="124" spans="1:87" ht="13.8"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2"/>
      <c r="BT124" s="22"/>
      <c r="BU124" s="22"/>
      <c r="BV124" s="22"/>
      <c r="BW124" s="22"/>
      <c r="BX124" s="22"/>
      <c r="BY124" s="22"/>
      <c r="BZ124" s="22"/>
      <c r="CA124" s="22"/>
      <c r="CB124" s="22"/>
      <c r="CC124" s="22"/>
      <c r="CD124" s="22"/>
      <c r="CE124" s="22"/>
      <c r="CF124" s="22"/>
      <c r="CG124" s="22"/>
      <c r="CH124" s="22"/>
      <c r="CI124" s="22"/>
    </row>
    <row r="125" spans="1:87" ht="13.8"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2"/>
      <c r="BT125" s="22"/>
      <c r="BU125" s="22"/>
      <c r="BV125" s="22"/>
      <c r="BW125" s="22"/>
      <c r="BX125" s="22"/>
      <c r="BY125" s="22"/>
      <c r="BZ125" s="22"/>
      <c r="CA125" s="22"/>
      <c r="CB125" s="22"/>
      <c r="CC125" s="22"/>
      <c r="CD125" s="22"/>
      <c r="CE125" s="22"/>
      <c r="CF125" s="22"/>
      <c r="CG125" s="22"/>
      <c r="CH125" s="22"/>
      <c r="CI125" s="22"/>
    </row>
    <row r="126" spans="1:87" ht="13.8"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2"/>
      <c r="BT126" s="22"/>
      <c r="BU126" s="22"/>
      <c r="BV126" s="22"/>
      <c r="BW126" s="22"/>
      <c r="BX126" s="22"/>
      <c r="BY126" s="22"/>
      <c r="BZ126" s="22"/>
      <c r="CA126" s="22"/>
      <c r="CB126" s="22"/>
      <c r="CC126" s="22"/>
      <c r="CD126" s="22"/>
      <c r="CE126" s="22"/>
      <c r="CF126" s="22"/>
      <c r="CG126" s="22"/>
      <c r="CH126" s="22"/>
      <c r="CI126" s="22"/>
    </row>
    <row r="127" spans="1:87" ht="13.8"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2"/>
      <c r="BT127" s="22"/>
      <c r="BU127" s="22"/>
      <c r="BV127" s="22"/>
      <c r="BW127" s="22"/>
      <c r="BX127" s="22"/>
      <c r="BY127" s="22"/>
      <c r="BZ127" s="22"/>
      <c r="CA127" s="22"/>
      <c r="CB127" s="22"/>
      <c r="CC127" s="22"/>
      <c r="CD127" s="22"/>
      <c r="CE127" s="22"/>
      <c r="CF127" s="22"/>
      <c r="CG127" s="22"/>
      <c r="CH127" s="22"/>
      <c r="CI127" s="22"/>
    </row>
    <row r="128" spans="1:87" ht="13.8"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2"/>
      <c r="BT128" s="22"/>
      <c r="BU128" s="22"/>
      <c r="BV128" s="22"/>
      <c r="BW128" s="22"/>
      <c r="BX128" s="22"/>
      <c r="BY128" s="22"/>
      <c r="BZ128" s="22"/>
      <c r="CA128" s="22"/>
      <c r="CB128" s="22"/>
      <c r="CC128" s="22"/>
      <c r="CD128" s="22"/>
      <c r="CE128" s="22"/>
      <c r="CF128" s="22"/>
      <c r="CG128" s="22"/>
      <c r="CH128" s="22"/>
      <c r="CI128" s="22"/>
    </row>
    <row r="129" spans="1:87" ht="13.8"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2"/>
      <c r="BT129" s="22"/>
      <c r="BU129" s="22"/>
      <c r="BV129" s="22"/>
      <c r="BW129" s="22"/>
      <c r="BX129" s="22"/>
      <c r="BY129" s="22"/>
      <c r="BZ129" s="22"/>
      <c r="CA129" s="22"/>
      <c r="CB129" s="22"/>
      <c r="CC129" s="22"/>
      <c r="CD129" s="22"/>
      <c r="CE129" s="22"/>
      <c r="CF129" s="22"/>
      <c r="CG129" s="22"/>
      <c r="CH129" s="22"/>
      <c r="CI129" s="22"/>
    </row>
    <row r="130" spans="1:87" ht="13.8"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2"/>
      <c r="BT130" s="22"/>
      <c r="BU130" s="22"/>
      <c r="BV130" s="22"/>
      <c r="BW130" s="22"/>
      <c r="BX130" s="22"/>
      <c r="BY130" s="22"/>
      <c r="BZ130" s="22"/>
      <c r="CA130" s="22"/>
      <c r="CB130" s="22"/>
      <c r="CC130" s="22"/>
      <c r="CD130" s="22"/>
      <c r="CE130" s="22"/>
      <c r="CF130" s="22"/>
      <c r="CG130" s="22"/>
      <c r="CH130" s="22"/>
      <c r="CI130" s="22"/>
    </row>
    <row r="131" spans="1:87" ht="13.8"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2"/>
      <c r="BT131" s="22"/>
      <c r="BU131" s="22"/>
      <c r="BV131" s="22"/>
      <c r="BW131" s="22"/>
      <c r="BX131" s="22"/>
      <c r="BY131" s="22"/>
      <c r="BZ131" s="22"/>
      <c r="CA131" s="22"/>
      <c r="CB131" s="22"/>
      <c r="CC131" s="22"/>
      <c r="CD131" s="22"/>
      <c r="CE131" s="22"/>
      <c r="CF131" s="22"/>
      <c r="CG131" s="22"/>
      <c r="CH131" s="22"/>
      <c r="CI131" s="22"/>
    </row>
    <row r="132" spans="1:87" ht="13.8"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2"/>
      <c r="BT132" s="22"/>
      <c r="BU132" s="22"/>
      <c r="BV132" s="22"/>
      <c r="BW132" s="22"/>
      <c r="BX132" s="22"/>
      <c r="BY132" s="22"/>
      <c r="BZ132" s="22"/>
      <c r="CA132" s="22"/>
      <c r="CB132" s="22"/>
      <c r="CC132" s="22"/>
      <c r="CD132" s="22"/>
      <c r="CE132" s="22"/>
      <c r="CF132" s="22"/>
      <c r="CG132" s="22"/>
      <c r="CH132" s="22"/>
      <c r="CI132" s="22"/>
    </row>
    <row r="133" spans="1:87" ht="13.8"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2"/>
      <c r="BT133" s="22"/>
      <c r="BU133" s="22"/>
      <c r="BV133" s="22"/>
      <c r="BW133" s="22"/>
      <c r="BX133" s="22"/>
      <c r="BY133" s="22"/>
      <c r="BZ133" s="22"/>
      <c r="CA133" s="22"/>
      <c r="CB133" s="22"/>
      <c r="CC133" s="22"/>
      <c r="CD133" s="22"/>
      <c r="CE133" s="22"/>
      <c r="CF133" s="22"/>
      <c r="CG133" s="22"/>
      <c r="CH133" s="22"/>
      <c r="CI133" s="22"/>
    </row>
    <row r="134" spans="1:87" ht="13.8"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2"/>
      <c r="BT134" s="22"/>
      <c r="BU134" s="22"/>
      <c r="BV134" s="22"/>
      <c r="BW134" s="22"/>
      <c r="BX134" s="22"/>
      <c r="BY134" s="22"/>
      <c r="BZ134" s="22"/>
      <c r="CA134" s="22"/>
      <c r="CB134" s="22"/>
      <c r="CC134" s="22"/>
      <c r="CD134" s="22"/>
      <c r="CE134" s="22"/>
      <c r="CF134" s="22"/>
      <c r="CG134" s="22"/>
      <c r="CH134" s="22"/>
      <c r="CI134" s="22"/>
    </row>
    <row r="135" spans="1:87" ht="13.8"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2"/>
      <c r="BT135" s="22"/>
      <c r="BU135" s="22"/>
      <c r="BV135" s="22"/>
      <c r="BW135" s="22"/>
      <c r="BX135" s="22"/>
      <c r="BY135" s="22"/>
      <c r="BZ135" s="22"/>
      <c r="CA135" s="22"/>
      <c r="CB135" s="22"/>
      <c r="CC135" s="22"/>
      <c r="CD135" s="22"/>
      <c r="CE135" s="22"/>
      <c r="CF135" s="22"/>
      <c r="CG135" s="22"/>
      <c r="CH135" s="22"/>
      <c r="CI135" s="22"/>
    </row>
    <row r="136" spans="1:87" ht="13.8"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2"/>
      <c r="BT136" s="22"/>
      <c r="BU136" s="22"/>
      <c r="BV136" s="22"/>
      <c r="BW136" s="22"/>
      <c r="BX136" s="22"/>
      <c r="BY136" s="22"/>
      <c r="BZ136" s="22"/>
      <c r="CA136" s="22"/>
      <c r="CB136" s="22"/>
      <c r="CC136" s="22"/>
      <c r="CD136" s="22"/>
      <c r="CE136" s="22"/>
      <c r="CF136" s="22"/>
      <c r="CG136" s="22"/>
      <c r="CH136" s="22"/>
      <c r="CI136" s="22"/>
    </row>
    <row r="137" spans="1:87" ht="13.8"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2"/>
      <c r="BT137" s="22"/>
      <c r="BU137" s="22"/>
      <c r="BV137" s="22"/>
      <c r="BW137" s="22"/>
      <c r="BX137" s="22"/>
      <c r="BY137" s="22"/>
      <c r="BZ137" s="22"/>
      <c r="CA137" s="22"/>
      <c r="CB137" s="22"/>
      <c r="CC137" s="22"/>
      <c r="CD137" s="22"/>
      <c r="CE137" s="22"/>
      <c r="CF137" s="22"/>
      <c r="CG137" s="22"/>
      <c r="CH137" s="22"/>
      <c r="CI137" s="22"/>
    </row>
    <row r="138" spans="1:87" ht="13.8"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2"/>
      <c r="BT138" s="22"/>
      <c r="BU138" s="22"/>
      <c r="BV138" s="22"/>
      <c r="BW138" s="22"/>
      <c r="BX138" s="22"/>
      <c r="BY138" s="22"/>
      <c r="BZ138" s="22"/>
      <c r="CA138" s="22"/>
      <c r="CB138" s="22"/>
      <c r="CC138" s="22"/>
      <c r="CD138" s="22"/>
      <c r="CE138" s="22"/>
      <c r="CF138" s="22"/>
      <c r="CG138" s="22"/>
      <c r="CH138" s="22"/>
      <c r="CI138" s="22"/>
    </row>
    <row r="139" spans="1:87" ht="13.8" x14ac:dyDescent="0.25">
      <c r="A139" s="89"/>
      <c r="B139" s="21"/>
      <c r="C139" s="22"/>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2"/>
      <c r="BT139" s="22"/>
      <c r="BU139" s="22"/>
      <c r="BV139" s="22"/>
      <c r="BW139" s="22"/>
      <c r="BX139" s="22"/>
      <c r="BY139" s="22"/>
      <c r="BZ139" s="22"/>
      <c r="CA139" s="22"/>
      <c r="CB139" s="22"/>
      <c r="CC139" s="22"/>
      <c r="CD139" s="22"/>
      <c r="CE139" s="22"/>
      <c r="CF139" s="22"/>
      <c r="CG139" s="22"/>
      <c r="CH139" s="22"/>
      <c r="CI139" s="22"/>
    </row>
    <row r="140" spans="1:87" x14ac:dyDescent="0.25">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row>
    <row r="141" spans="1:87" x14ac:dyDescent="0.25">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row>
    <row r="142" spans="1:87" x14ac:dyDescent="0.25">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row>
    <row r="143" spans="1:87" x14ac:dyDescent="0.25">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row>
    <row r="144" spans="1:87" x14ac:dyDescent="0.25">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row>
    <row r="145" spans="2:87" x14ac:dyDescent="0.25">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row>
    <row r="146" spans="2:87" x14ac:dyDescent="0.25">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row>
    <row r="147" spans="2:87" x14ac:dyDescent="0.25">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row>
    <row r="148" spans="2:87" x14ac:dyDescent="0.25">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row>
    <row r="149" spans="2:87" x14ac:dyDescent="0.25">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row>
    <row r="150" spans="2:87" x14ac:dyDescent="0.25">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row>
    <row r="151" spans="2:87" x14ac:dyDescent="0.25">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row>
    <row r="152" spans="2:87" x14ac:dyDescent="0.25">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row>
    <row r="153" spans="2:87" x14ac:dyDescent="0.25">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row>
    <row r="154" spans="2:87" x14ac:dyDescent="0.25">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row>
    <row r="155" spans="2:87" x14ac:dyDescent="0.25">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row>
    <row r="156" spans="2:87" x14ac:dyDescent="0.25">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row>
    <row r="157" spans="2:87" x14ac:dyDescent="0.25">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row>
    <row r="158" spans="2:87" x14ac:dyDescent="0.25">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row>
    <row r="159" spans="2:87" x14ac:dyDescent="0.25">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row>
    <row r="160" spans="2:87" x14ac:dyDescent="0.25">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row>
    <row r="161" spans="2:87" x14ac:dyDescent="0.25">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row>
    <row r="162" spans="2:87" x14ac:dyDescent="0.25">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row>
    <row r="163" spans="2:87" x14ac:dyDescent="0.25">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row>
    <row r="164" spans="2:87" x14ac:dyDescent="0.25">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row>
    <row r="165" spans="2:87" x14ac:dyDescent="0.25">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row>
    <row r="166" spans="2:87" x14ac:dyDescent="0.25">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row>
    <row r="167" spans="2:87" x14ac:dyDescent="0.25">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row>
    <row r="168" spans="2:87" x14ac:dyDescent="0.25">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row>
    <row r="169" spans="2:87" x14ac:dyDescent="0.25">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row>
    <row r="170" spans="2:87" x14ac:dyDescent="0.25">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row>
    <row r="171" spans="2:87" x14ac:dyDescent="0.25">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row>
    <row r="172" spans="2:87" x14ac:dyDescent="0.25">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row>
    <row r="173" spans="2:87" x14ac:dyDescent="0.25">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row>
    <row r="174" spans="2:87" x14ac:dyDescent="0.25">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row>
    <row r="175" spans="2:87" x14ac:dyDescent="0.25">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row>
    <row r="176" spans="2:87" x14ac:dyDescent="0.25">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row>
    <row r="177" spans="2:87" x14ac:dyDescent="0.25">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row>
    <row r="178" spans="2:87" x14ac:dyDescent="0.25">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row>
    <row r="179" spans="2:87" x14ac:dyDescent="0.25">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row>
    <row r="180" spans="2:87" x14ac:dyDescent="0.25">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row>
    <row r="181" spans="2:87" x14ac:dyDescent="0.25">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row>
    <row r="182" spans="2:87" x14ac:dyDescent="0.25">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row>
    <row r="183" spans="2:87" x14ac:dyDescent="0.25">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row>
    <row r="184" spans="2:87" x14ac:dyDescent="0.25">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row>
    <row r="185" spans="2:87" x14ac:dyDescent="0.25">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row>
    <row r="186" spans="2:87" x14ac:dyDescent="0.25">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row>
    <row r="187" spans="2:87" x14ac:dyDescent="0.25">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row>
    <row r="188" spans="2:87" x14ac:dyDescent="0.25">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row>
    <row r="189" spans="2:87" x14ac:dyDescent="0.25">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row>
    <row r="190" spans="2:87" x14ac:dyDescent="0.25">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row>
    <row r="191" spans="2:87" x14ac:dyDescent="0.25">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row>
  </sheetData>
  <mergeCells count="23">
    <mergeCell ref="B5:M5"/>
    <mergeCell ref="B6:M9"/>
    <mergeCell ref="C13:G14"/>
    <mergeCell ref="H12:L14"/>
    <mergeCell ref="C16:G18"/>
    <mergeCell ref="B10:M10"/>
    <mergeCell ref="C15:G15"/>
    <mergeCell ref="C12:G12"/>
    <mergeCell ref="C19:G19"/>
    <mergeCell ref="C20:G20"/>
    <mergeCell ref="H15:L15"/>
    <mergeCell ref="H16:L16"/>
    <mergeCell ref="H17:L17"/>
    <mergeCell ref="H18:L18"/>
    <mergeCell ref="H19:L19"/>
    <mergeCell ref="H20:L20"/>
    <mergeCell ref="B1:C3"/>
    <mergeCell ref="D1:K1"/>
    <mergeCell ref="L1:M1"/>
    <mergeCell ref="D2:K2"/>
    <mergeCell ref="L2:M2"/>
    <mergeCell ref="D3:K3"/>
    <mergeCell ref="L3:M3"/>
  </mergeCells>
  <printOptions horizontalCentered="1"/>
  <pageMargins left="0.70866141732283472" right="0.70866141732283472" top="0.74803149606299213" bottom="0.74803149606299213" header="0.31496062992125984" footer="0.31496062992125984"/>
  <pageSetup scale="64"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BG141"/>
  <sheetViews>
    <sheetView showGridLines="0" showZeros="0" showOutlineSymbols="0" zoomScale="90" zoomScaleNormal="90" zoomScaleSheetLayoutView="100" zoomScalePageLayoutView="40" workbookViewId="0">
      <selection sqref="A1:A3"/>
    </sheetView>
  </sheetViews>
  <sheetFormatPr baseColWidth="10" defaultColWidth="30.6640625" defaultRowHeight="17.399999999999999" x14ac:dyDescent="0.3"/>
  <cols>
    <col min="1" max="1" width="30.6640625" style="216"/>
    <col min="2" max="9" width="10.6640625" style="213" customWidth="1"/>
    <col min="10" max="10" width="30.6640625" style="214"/>
    <col min="11" max="16" width="30.6640625" style="215"/>
    <col min="17" max="16384" width="30.6640625" style="216"/>
  </cols>
  <sheetData>
    <row r="1" spans="1:58" ht="19.2" customHeight="1" thickBot="1" x14ac:dyDescent="0.35">
      <c r="A1" s="409"/>
      <c r="B1" s="412" t="s">
        <v>277</v>
      </c>
      <c r="C1" s="413"/>
      <c r="D1" s="413"/>
      <c r="E1" s="413"/>
      <c r="F1" s="413"/>
      <c r="G1" s="413"/>
      <c r="H1" s="413"/>
      <c r="I1" s="414"/>
      <c r="J1" s="231" t="s">
        <v>340</v>
      </c>
      <c r="K1" s="216"/>
      <c r="L1" s="228"/>
    </row>
    <row r="2" spans="1:58" ht="19.2" customHeight="1" thickBot="1" x14ac:dyDescent="0.35">
      <c r="A2" s="410"/>
      <c r="B2" s="412" t="s">
        <v>177</v>
      </c>
      <c r="C2" s="413"/>
      <c r="D2" s="413"/>
      <c r="E2" s="413"/>
      <c r="F2" s="413"/>
      <c r="G2" s="413"/>
      <c r="H2" s="413"/>
      <c r="I2" s="414"/>
      <c r="J2" s="232" t="s">
        <v>179</v>
      </c>
      <c r="K2" s="216"/>
      <c r="L2" s="229"/>
    </row>
    <row r="3" spans="1:58" ht="19.2" customHeight="1" thickBot="1" x14ac:dyDescent="0.35">
      <c r="A3" s="411"/>
      <c r="B3" s="415" t="s">
        <v>137</v>
      </c>
      <c r="C3" s="416"/>
      <c r="D3" s="416"/>
      <c r="E3" s="416"/>
      <c r="F3" s="416"/>
      <c r="G3" s="416"/>
      <c r="H3" s="416"/>
      <c r="I3" s="417"/>
      <c r="J3" s="233">
        <v>44279</v>
      </c>
      <c r="K3" s="216"/>
      <c r="L3" s="230"/>
    </row>
    <row r="4" spans="1:58" x14ac:dyDescent="0.3">
      <c r="L4" s="219"/>
    </row>
    <row r="5" spans="1:58" ht="15.75" customHeight="1" x14ac:dyDescent="0.3">
      <c r="B5" s="217"/>
      <c r="C5" s="217"/>
      <c r="D5" s="217"/>
      <c r="E5" s="217"/>
      <c r="F5" s="217"/>
      <c r="G5" s="217"/>
      <c r="H5" s="217"/>
      <c r="I5" s="217"/>
      <c r="J5" s="217"/>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9"/>
      <c r="BF5" s="219"/>
    </row>
    <row r="6" spans="1:58" ht="30" customHeight="1" x14ac:dyDescent="0.3">
      <c r="B6" s="419" t="str">
        <f>INDICE!D16</f>
        <v>JLE PUEBLA</v>
      </c>
      <c r="C6" s="419"/>
      <c r="D6" s="423" t="s">
        <v>141</v>
      </c>
      <c r="E6" s="423"/>
      <c r="F6" s="423"/>
      <c r="G6" s="423"/>
      <c r="H6" s="420" t="str">
        <f>INDICE!E18</f>
        <v>2021-2022</v>
      </c>
      <c r="I6" s="420"/>
      <c r="J6" s="220"/>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9"/>
      <c r="BF6" s="219"/>
    </row>
    <row r="7" spans="1:58" ht="30" customHeight="1" x14ac:dyDescent="0.3">
      <c r="B7" s="419"/>
      <c r="C7" s="419"/>
      <c r="D7" s="423"/>
      <c r="E7" s="423"/>
      <c r="F7" s="423"/>
      <c r="G7" s="423"/>
      <c r="H7" s="420"/>
      <c r="I7" s="420"/>
      <c r="J7" s="220"/>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9"/>
      <c r="BF7" s="219"/>
    </row>
    <row r="8" spans="1:58" ht="30" customHeight="1" x14ac:dyDescent="0.3">
      <c r="B8" s="418" t="s">
        <v>437</v>
      </c>
      <c r="C8" s="418"/>
      <c r="D8" s="418"/>
      <c r="E8" s="418"/>
      <c r="F8" s="418"/>
      <c r="G8" s="418"/>
      <c r="H8" s="418"/>
      <c r="I8" s="418"/>
      <c r="J8" s="220"/>
      <c r="K8" s="218"/>
      <c r="L8" s="218"/>
      <c r="M8" s="218"/>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218"/>
      <c r="AY8" s="218"/>
      <c r="AZ8" s="218"/>
      <c r="BA8" s="218"/>
      <c r="BB8" s="218"/>
      <c r="BC8" s="218"/>
      <c r="BD8" s="218"/>
      <c r="BE8" s="219"/>
      <c r="BF8" s="219"/>
    </row>
    <row r="9" spans="1:58" ht="30" customHeight="1" x14ac:dyDescent="0.3">
      <c r="B9" s="418"/>
      <c r="C9" s="418"/>
      <c r="D9" s="418"/>
      <c r="E9" s="418"/>
      <c r="F9" s="418"/>
      <c r="G9" s="418"/>
      <c r="H9" s="418"/>
      <c r="I9" s="418"/>
      <c r="J9" s="220"/>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9"/>
      <c r="BF9" s="219"/>
    </row>
    <row r="10" spans="1:58" ht="30" customHeight="1" x14ac:dyDescent="0.3">
      <c r="B10" s="418"/>
      <c r="C10" s="418"/>
      <c r="D10" s="418"/>
      <c r="E10" s="418"/>
      <c r="F10" s="418"/>
      <c r="G10" s="418"/>
      <c r="H10" s="418"/>
      <c r="I10" s="418"/>
      <c r="J10" s="220"/>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9"/>
      <c r="BF10" s="219"/>
    </row>
    <row r="11" spans="1:58" ht="30" customHeight="1" x14ac:dyDescent="0.3">
      <c r="B11" s="421" t="str">
        <f>INDICE!D16</f>
        <v>JLE PUEBLA</v>
      </c>
      <c r="C11" s="421"/>
      <c r="D11" s="423" t="s">
        <v>134</v>
      </c>
      <c r="E11" s="423"/>
      <c r="F11" s="423"/>
      <c r="G11" s="423"/>
      <c r="H11" s="422" t="str">
        <f>INDICE!E18</f>
        <v>2021-2022</v>
      </c>
      <c r="I11" s="422"/>
      <c r="J11" s="220"/>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9"/>
      <c r="BF11" s="219"/>
    </row>
    <row r="12" spans="1:58" ht="30" customHeight="1" x14ac:dyDescent="0.3">
      <c r="B12" s="421"/>
      <c r="C12" s="421"/>
      <c r="D12" s="423"/>
      <c r="E12" s="423"/>
      <c r="F12" s="423"/>
      <c r="G12" s="423"/>
      <c r="H12" s="422"/>
      <c r="I12" s="422"/>
      <c r="J12" s="220"/>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9"/>
      <c r="BF12" s="219"/>
    </row>
    <row r="13" spans="1:58" ht="30" customHeight="1" x14ac:dyDescent="0.3">
      <c r="B13" s="418" t="s">
        <v>438</v>
      </c>
      <c r="C13" s="418"/>
      <c r="D13" s="418"/>
      <c r="E13" s="418"/>
      <c r="F13" s="418"/>
      <c r="G13" s="418"/>
      <c r="H13" s="418"/>
      <c r="I13" s="418"/>
      <c r="J13" s="220"/>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9"/>
      <c r="BF13" s="219"/>
    </row>
    <row r="14" spans="1:58" ht="30" customHeight="1" x14ac:dyDescent="0.3">
      <c r="B14" s="418"/>
      <c r="C14" s="418"/>
      <c r="D14" s="418"/>
      <c r="E14" s="418"/>
      <c r="F14" s="418"/>
      <c r="G14" s="418"/>
      <c r="H14" s="418"/>
      <c r="I14" s="418"/>
      <c r="J14" s="220"/>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9"/>
      <c r="BF14" s="219"/>
    </row>
    <row r="15" spans="1:58" ht="30" customHeight="1" x14ac:dyDescent="0.3">
      <c r="B15" s="418"/>
      <c r="C15" s="418"/>
      <c r="D15" s="418"/>
      <c r="E15" s="418"/>
      <c r="F15" s="418"/>
      <c r="G15" s="418"/>
      <c r="H15" s="418"/>
      <c r="I15" s="418"/>
      <c r="J15" s="220"/>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218"/>
      <c r="BB15" s="218"/>
      <c r="BC15" s="218"/>
      <c r="BD15" s="218"/>
      <c r="BE15" s="219"/>
      <c r="BF15" s="219"/>
    </row>
    <row r="16" spans="1:58" s="215" customFormat="1" ht="30" customHeight="1" x14ac:dyDescent="0.3">
      <c r="B16" s="421" t="str">
        <f>INDICE!D16</f>
        <v>JLE PUEBLA</v>
      </c>
      <c r="C16" s="421"/>
      <c r="D16" s="423" t="s">
        <v>180</v>
      </c>
      <c r="E16" s="423"/>
      <c r="F16" s="423"/>
      <c r="G16" s="423"/>
      <c r="H16" s="420" t="str">
        <f>INDICE!E18</f>
        <v>2021-2022</v>
      </c>
      <c r="I16" s="420"/>
      <c r="J16" s="220"/>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218"/>
      <c r="BB16" s="218"/>
      <c r="BC16" s="218"/>
      <c r="BD16" s="218"/>
      <c r="BE16" s="219"/>
      <c r="BF16" s="219"/>
    </row>
    <row r="17" spans="2:59" s="215" customFormat="1" ht="30" customHeight="1" x14ac:dyDescent="0.3">
      <c r="B17" s="421"/>
      <c r="C17" s="421"/>
      <c r="D17" s="423"/>
      <c r="E17" s="423"/>
      <c r="F17" s="423"/>
      <c r="G17" s="423"/>
      <c r="H17" s="420"/>
      <c r="I17" s="420"/>
      <c r="J17" s="220"/>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9"/>
      <c r="BF17" s="219"/>
    </row>
    <row r="18" spans="2:59" s="223" customFormat="1" ht="55.5" customHeight="1" x14ac:dyDescent="0.3">
      <c r="B18" s="424" t="s">
        <v>439</v>
      </c>
      <c r="C18" s="424"/>
      <c r="D18" s="424"/>
      <c r="E18" s="424"/>
      <c r="F18" s="424"/>
      <c r="G18" s="424"/>
      <c r="H18" s="424"/>
      <c r="I18" s="424"/>
      <c r="J18" s="220"/>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2"/>
      <c r="BF18" s="222"/>
      <c r="BG18" s="222"/>
    </row>
    <row r="19" spans="2:59" s="223" customFormat="1" ht="30" customHeight="1" x14ac:dyDescent="0.3">
      <c r="B19" s="421" t="str">
        <f>INDICE!D16</f>
        <v>JLE PUEBLA</v>
      </c>
      <c r="C19" s="421"/>
      <c r="D19" s="423" t="s">
        <v>181</v>
      </c>
      <c r="E19" s="423"/>
      <c r="F19" s="423"/>
      <c r="G19" s="423"/>
      <c r="H19" s="420" t="str">
        <f>INDICE!E18</f>
        <v>2021-2022</v>
      </c>
      <c r="I19" s="425"/>
      <c r="J19" s="220"/>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2"/>
      <c r="BF19" s="222"/>
      <c r="BG19" s="222"/>
    </row>
    <row r="20" spans="2:59" s="223" customFormat="1" ht="30" customHeight="1" x14ac:dyDescent="0.3">
      <c r="B20" s="421"/>
      <c r="C20" s="421"/>
      <c r="D20" s="423"/>
      <c r="E20" s="423"/>
      <c r="F20" s="423"/>
      <c r="G20" s="423"/>
      <c r="H20" s="425"/>
      <c r="I20" s="425"/>
      <c r="J20" s="220"/>
      <c r="K20" s="221"/>
      <c r="L20" s="221"/>
      <c r="M20" s="221"/>
      <c r="N20" s="221"/>
      <c r="O20" s="221"/>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2"/>
      <c r="BF20" s="222"/>
      <c r="BG20" s="222"/>
    </row>
    <row r="21" spans="2:59" s="223" customFormat="1" ht="51" customHeight="1" x14ac:dyDescent="0.3">
      <c r="B21" s="424" t="s">
        <v>440</v>
      </c>
      <c r="C21" s="424"/>
      <c r="D21" s="424"/>
      <c r="E21" s="424"/>
      <c r="F21" s="424"/>
      <c r="G21" s="424"/>
      <c r="H21" s="424"/>
      <c r="I21" s="424"/>
      <c r="J21" s="220"/>
      <c r="K21" s="221"/>
      <c r="L21" s="221"/>
      <c r="M21" s="221"/>
      <c r="N21" s="221"/>
      <c r="O21" s="221"/>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2"/>
      <c r="BF21" s="222"/>
      <c r="BG21" s="222"/>
    </row>
    <row r="22" spans="2:59" x14ac:dyDescent="0.3">
      <c r="B22" s="218"/>
      <c r="C22" s="218"/>
      <c r="D22" s="218"/>
      <c r="E22" s="218"/>
      <c r="F22" s="218"/>
      <c r="G22" s="218"/>
      <c r="H22" s="218"/>
      <c r="I22" s="218"/>
      <c r="J22" s="224"/>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9"/>
      <c r="BF22" s="219"/>
      <c r="BG22" s="219"/>
    </row>
    <row r="23" spans="2:59" x14ac:dyDescent="0.3">
      <c r="B23" s="218"/>
      <c r="C23" s="218"/>
      <c r="D23" s="218"/>
      <c r="E23" s="218"/>
      <c r="F23" s="218"/>
      <c r="G23" s="218"/>
      <c r="H23" s="218"/>
      <c r="I23" s="218"/>
      <c r="J23" s="224"/>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9"/>
      <c r="BF23" s="219"/>
      <c r="BG23" s="219"/>
    </row>
    <row r="24" spans="2:59" x14ac:dyDescent="0.3">
      <c r="B24" s="218"/>
      <c r="C24" s="218"/>
      <c r="D24" s="218"/>
      <c r="E24" s="218"/>
      <c r="F24" s="218"/>
      <c r="G24" s="218"/>
      <c r="H24" s="218"/>
      <c r="I24" s="218"/>
      <c r="J24" s="224"/>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9"/>
      <c r="BF24" s="219"/>
      <c r="BG24" s="219"/>
    </row>
    <row r="25" spans="2:59" x14ac:dyDescent="0.3">
      <c r="B25" s="218"/>
      <c r="C25" s="218"/>
      <c r="D25" s="218"/>
      <c r="E25" s="218"/>
      <c r="F25" s="218"/>
      <c r="G25" s="218"/>
      <c r="H25" s="218"/>
      <c r="I25" s="218"/>
      <c r="J25" s="224"/>
      <c r="K25" s="225"/>
      <c r="L25" s="225"/>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9"/>
      <c r="BF25" s="219"/>
      <c r="BG25" s="219"/>
    </row>
    <row r="26" spans="2:59" x14ac:dyDescent="0.3">
      <c r="B26" s="218"/>
      <c r="C26" s="218"/>
      <c r="D26" s="218"/>
      <c r="E26" s="218"/>
      <c r="F26" s="218"/>
      <c r="G26" s="218"/>
      <c r="H26" s="218"/>
      <c r="I26" s="218"/>
      <c r="J26" s="224"/>
      <c r="K26" s="225"/>
      <c r="L26" s="225"/>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9"/>
      <c r="BF26" s="219"/>
      <c r="BG26" s="219"/>
    </row>
    <row r="27" spans="2:59" x14ac:dyDescent="0.3">
      <c r="B27" s="218"/>
      <c r="C27" s="218"/>
      <c r="D27" s="218"/>
      <c r="E27" s="218"/>
      <c r="F27" s="218"/>
      <c r="G27" s="218"/>
      <c r="H27" s="218"/>
      <c r="I27" s="218"/>
      <c r="J27" s="226"/>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c r="BA27" s="218"/>
      <c r="BB27" s="218"/>
      <c r="BC27" s="218"/>
      <c r="BD27" s="218"/>
      <c r="BE27" s="219"/>
      <c r="BF27" s="219"/>
      <c r="BG27" s="219"/>
    </row>
    <row r="28" spans="2:59" x14ac:dyDescent="0.3">
      <c r="B28" s="218"/>
      <c r="C28" s="218"/>
      <c r="D28" s="218"/>
      <c r="E28" s="218"/>
      <c r="F28" s="218"/>
      <c r="G28" s="218"/>
      <c r="H28" s="218"/>
      <c r="I28" s="218"/>
      <c r="J28" s="226"/>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9"/>
      <c r="BF28" s="219"/>
      <c r="BG28" s="219"/>
    </row>
    <row r="29" spans="2:59" x14ac:dyDescent="0.3">
      <c r="B29" s="218"/>
      <c r="C29" s="218"/>
      <c r="D29" s="218"/>
      <c r="E29" s="218"/>
      <c r="F29" s="218"/>
      <c r="G29" s="218"/>
      <c r="H29" s="218"/>
      <c r="I29" s="218"/>
      <c r="J29" s="226"/>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9"/>
      <c r="BF29" s="219"/>
      <c r="BG29" s="219"/>
    </row>
    <row r="30" spans="2:59" x14ac:dyDescent="0.3">
      <c r="B30" s="218"/>
      <c r="C30" s="218"/>
      <c r="D30" s="218"/>
      <c r="E30" s="218"/>
      <c r="F30" s="218"/>
      <c r="G30" s="218"/>
      <c r="H30" s="218"/>
      <c r="I30" s="218"/>
      <c r="J30" s="226"/>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9"/>
      <c r="BF30" s="219"/>
      <c r="BG30" s="219"/>
    </row>
    <row r="31" spans="2:59" x14ac:dyDescent="0.3">
      <c r="B31" s="218"/>
      <c r="C31" s="218"/>
      <c r="D31" s="218"/>
      <c r="E31" s="218"/>
      <c r="F31" s="218"/>
      <c r="G31" s="218"/>
      <c r="H31" s="218"/>
      <c r="I31" s="218"/>
      <c r="J31" s="226"/>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9"/>
      <c r="BF31" s="219"/>
      <c r="BG31" s="219"/>
    </row>
    <row r="32" spans="2:59" x14ac:dyDescent="0.3">
      <c r="B32" s="218"/>
      <c r="C32" s="218"/>
      <c r="D32" s="218"/>
      <c r="E32" s="218"/>
      <c r="F32" s="218"/>
      <c r="G32" s="218"/>
      <c r="H32" s="218"/>
      <c r="I32" s="218"/>
      <c r="J32" s="226"/>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9"/>
      <c r="BF32" s="219"/>
      <c r="BG32" s="219"/>
    </row>
    <row r="33" spans="2:59" x14ac:dyDescent="0.3">
      <c r="B33" s="218"/>
      <c r="C33" s="218"/>
      <c r="D33" s="218"/>
      <c r="E33" s="218"/>
      <c r="F33" s="218"/>
      <c r="G33" s="218"/>
      <c r="H33" s="218"/>
      <c r="I33" s="218"/>
      <c r="J33" s="226"/>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9"/>
      <c r="BF33" s="219"/>
      <c r="BG33" s="219"/>
    </row>
    <row r="34" spans="2:59" x14ac:dyDescent="0.3">
      <c r="B34" s="218"/>
      <c r="C34" s="218"/>
      <c r="D34" s="218"/>
      <c r="E34" s="218"/>
      <c r="F34" s="218"/>
      <c r="G34" s="218"/>
      <c r="H34" s="218"/>
      <c r="I34" s="218"/>
      <c r="J34" s="226"/>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9"/>
      <c r="BF34" s="219"/>
      <c r="BG34" s="219"/>
    </row>
    <row r="35" spans="2:59" x14ac:dyDescent="0.3">
      <c r="B35" s="218"/>
      <c r="C35" s="218"/>
      <c r="D35" s="218"/>
      <c r="E35" s="218"/>
      <c r="F35" s="218"/>
      <c r="G35" s="218"/>
      <c r="H35" s="218"/>
      <c r="I35" s="218"/>
      <c r="J35" s="226"/>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9"/>
      <c r="BF35" s="219"/>
      <c r="BG35" s="219"/>
    </row>
    <row r="36" spans="2:59" x14ac:dyDescent="0.3">
      <c r="B36" s="218"/>
      <c r="C36" s="218"/>
      <c r="D36" s="218"/>
      <c r="E36" s="218"/>
      <c r="F36" s="218"/>
      <c r="G36" s="218"/>
      <c r="H36" s="218"/>
      <c r="I36" s="218"/>
      <c r="J36" s="226"/>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9"/>
      <c r="BF36" s="219"/>
      <c r="BG36" s="219"/>
    </row>
    <row r="37" spans="2:59" x14ac:dyDescent="0.3">
      <c r="B37" s="218"/>
      <c r="C37" s="218"/>
      <c r="D37" s="218"/>
      <c r="E37" s="218"/>
      <c r="F37" s="218"/>
      <c r="G37" s="218"/>
      <c r="H37" s="218"/>
      <c r="I37" s="218"/>
      <c r="J37" s="226"/>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9"/>
      <c r="BF37" s="219"/>
      <c r="BG37" s="219"/>
    </row>
    <row r="38" spans="2:59" x14ac:dyDescent="0.3">
      <c r="B38" s="218"/>
      <c r="C38" s="218"/>
      <c r="D38" s="218"/>
      <c r="E38" s="218"/>
      <c r="F38" s="218"/>
      <c r="G38" s="218"/>
      <c r="H38" s="218"/>
      <c r="I38" s="218"/>
      <c r="J38" s="226"/>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9"/>
      <c r="BF38" s="219"/>
      <c r="BG38" s="219"/>
    </row>
    <row r="39" spans="2:59" x14ac:dyDescent="0.3">
      <c r="B39" s="218"/>
      <c r="C39" s="218"/>
      <c r="D39" s="218"/>
      <c r="E39" s="218"/>
      <c r="F39" s="218"/>
      <c r="G39" s="218"/>
      <c r="H39" s="218"/>
      <c r="I39" s="218"/>
      <c r="J39" s="226"/>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9"/>
      <c r="BF39" s="219"/>
      <c r="BG39" s="219"/>
    </row>
    <row r="40" spans="2:59" x14ac:dyDescent="0.3">
      <c r="B40" s="218"/>
      <c r="C40" s="218"/>
      <c r="D40" s="218"/>
      <c r="E40" s="218"/>
      <c r="F40" s="218"/>
      <c r="G40" s="218"/>
      <c r="H40" s="218"/>
      <c r="I40" s="218"/>
      <c r="J40" s="226"/>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9"/>
      <c r="BF40" s="219"/>
      <c r="BG40" s="219"/>
    </row>
    <row r="41" spans="2:59" x14ac:dyDescent="0.3">
      <c r="B41" s="218"/>
      <c r="C41" s="218"/>
      <c r="D41" s="218"/>
      <c r="E41" s="218"/>
      <c r="F41" s="218"/>
      <c r="G41" s="218"/>
      <c r="H41" s="218"/>
      <c r="I41" s="218"/>
      <c r="J41" s="226"/>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9"/>
      <c r="BF41" s="219"/>
      <c r="BG41" s="219"/>
    </row>
    <row r="42" spans="2:59" x14ac:dyDescent="0.3">
      <c r="B42" s="218"/>
      <c r="C42" s="218"/>
      <c r="D42" s="218"/>
      <c r="E42" s="218"/>
      <c r="F42" s="218"/>
      <c r="G42" s="218"/>
      <c r="H42" s="218"/>
      <c r="I42" s="218"/>
      <c r="J42" s="226"/>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9"/>
      <c r="BF42" s="219"/>
      <c r="BG42" s="219"/>
    </row>
    <row r="43" spans="2:59" x14ac:dyDescent="0.3">
      <c r="B43" s="218"/>
      <c r="C43" s="218"/>
      <c r="D43" s="218"/>
      <c r="E43" s="218"/>
      <c r="F43" s="218"/>
      <c r="G43" s="218"/>
      <c r="H43" s="218"/>
      <c r="I43" s="218"/>
      <c r="J43" s="226"/>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9"/>
      <c r="BF43" s="219"/>
      <c r="BG43" s="219"/>
    </row>
    <row r="44" spans="2:59" x14ac:dyDescent="0.3">
      <c r="B44" s="218"/>
      <c r="C44" s="218"/>
      <c r="D44" s="218"/>
      <c r="E44" s="218"/>
      <c r="F44" s="218"/>
      <c r="G44" s="218"/>
      <c r="H44" s="218"/>
      <c r="I44" s="218"/>
      <c r="J44" s="226"/>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9"/>
      <c r="BF44" s="219"/>
      <c r="BG44" s="219"/>
    </row>
    <row r="45" spans="2:59" x14ac:dyDescent="0.3">
      <c r="B45" s="218"/>
      <c r="C45" s="218"/>
      <c r="D45" s="218"/>
      <c r="E45" s="218"/>
      <c r="F45" s="218"/>
      <c r="G45" s="218"/>
      <c r="H45" s="218"/>
      <c r="I45" s="218"/>
      <c r="J45" s="226"/>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9"/>
      <c r="BF45" s="219"/>
      <c r="BG45" s="219"/>
    </row>
    <row r="46" spans="2:59" x14ac:dyDescent="0.3">
      <c r="B46" s="218"/>
      <c r="C46" s="218"/>
      <c r="D46" s="218"/>
      <c r="E46" s="218"/>
      <c r="F46" s="218"/>
      <c r="G46" s="218"/>
      <c r="H46" s="218"/>
      <c r="I46" s="218"/>
      <c r="J46" s="226"/>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9"/>
      <c r="BF46" s="219"/>
      <c r="BG46" s="219"/>
    </row>
    <row r="47" spans="2:59" x14ac:dyDescent="0.3">
      <c r="B47" s="218"/>
      <c r="C47" s="218"/>
      <c r="D47" s="218"/>
      <c r="E47" s="218"/>
      <c r="F47" s="218"/>
      <c r="G47" s="218"/>
      <c r="H47" s="218"/>
      <c r="I47" s="218"/>
      <c r="J47" s="226"/>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9"/>
      <c r="BF47" s="219"/>
      <c r="BG47" s="219"/>
    </row>
    <row r="48" spans="2:59" x14ac:dyDescent="0.3">
      <c r="B48" s="218"/>
      <c r="C48" s="218"/>
      <c r="D48" s="218"/>
      <c r="E48" s="218"/>
      <c r="F48" s="218"/>
      <c r="G48" s="218"/>
      <c r="H48" s="218"/>
      <c r="I48" s="218"/>
      <c r="J48" s="226"/>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9"/>
      <c r="BF48" s="219"/>
      <c r="BG48" s="219"/>
    </row>
    <row r="49" spans="2:59" x14ac:dyDescent="0.3">
      <c r="B49" s="218"/>
      <c r="C49" s="218"/>
      <c r="D49" s="218"/>
      <c r="E49" s="218"/>
      <c r="F49" s="218"/>
      <c r="G49" s="218"/>
      <c r="H49" s="218"/>
      <c r="I49" s="218"/>
      <c r="J49" s="226"/>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9"/>
      <c r="BF49" s="219"/>
      <c r="BG49" s="219"/>
    </row>
    <row r="50" spans="2:59" x14ac:dyDescent="0.3">
      <c r="B50" s="218"/>
      <c r="C50" s="218"/>
      <c r="D50" s="218"/>
      <c r="E50" s="218"/>
      <c r="F50" s="218"/>
      <c r="G50" s="218"/>
      <c r="H50" s="218"/>
      <c r="I50" s="218"/>
      <c r="J50" s="226"/>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9"/>
      <c r="BF50" s="219"/>
      <c r="BG50" s="219"/>
    </row>
    <row r="51" spans="2:59" x14ac:dyDescent="0.3">
      <c r="B51" s="218"/>
      <c r="C51" s="218"/>
      <c r="D51" s="218"/>
      <c r="E51" s="218"/>
      <c r="F51" s="218"/>
      <c r="G51" s="218"/>
      <c r="H51" s="218"/>
      <c r="I51" s="218"/>
      <c r="J51" s="226"/>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9"/>
      <c r="BF51" s="219"/>
      <c r="BG51" s="219"/>
    </row>
    <row r="52" spans="2:59" x14ac:dyDescent="0.3">
      <c r="B52" s="218"/>
      <c r="C52" s="218"/>
      <c r="D52" s="218"/>
      <c r="E52" s="218"/>
      <c r="F52" s="218"/>
      <c r="G52" s="218"/>
      <c r="H52" s="218"/>
      <c r="I52" s="218"/>
      <c r="J52" s="226"/>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9"/>
      <c r="BF52" s="219"/>
      <c r="BG52" s="219"/>
    </row>
    <row r="53" spans="2:59" x14ac:dyDescent="0.3">
      <c r="B53" s="218"/>
      <c r="C53" s="218"/>
      <c r="D53" s="218"/>
      <c r="E53" s="218"/>
      <c r="F53" s="218"/>
      <c r="G53" s="218"/>
      <c r="H53" s="218"/>
      <c r="I53" s="218"/>
      <c r="J53" s="226"/>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9"/>
      <c r="BF53" s="219"/>
      <c r="BG53" s="219"/>
    </row>
    <row r="54" spans="2:59" x14ac:dyDescent="0.3">
      <c r="B54" s="218"/>
      <c r="C54" s="218"/>
      <c r="D54" s="218"/>
      <c r="E54" s="218"/>
      <c r="F54" s="218"/>
      <c r="G54" s="218"/>
      <c r="H54" s="218"/>
      <c r="I54" s="218"/>
      <c r="J54" s="226"/>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9"/>
      <c r="BF54" s="219"/>
      <c r="BG54" s="219"/>
    </row>
    <row r="55" spans="2:59" x14ac:dyDescent="0.3">
      <c r="B55" s="218"/>
      <c r="C55" s="218"/>
      <c r="D55" s="218"/>
      <c r="E55" s="218"/>
      <c r="F55" s="218"/>
      <c r="G55" s="218"/>
      <c r="H55" s="218"/>
      <c r="I55" s="218"/>
      <c r="J55" s="226"/>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9"/>
      <c r="BF55" s="219"/>
      <c r="BG55" s="219"/>
    </row>
    <row r="56" spans="2:59" x14ac:dyDescent="0.3">
      <c r="B56" s="218"/>
      <c r="C56" s="218"/>
      <c r="D56" s="218"/>
      <c r="E56" s="218"/>
      <c r="F56" s="218"/>
      <c r="G56" s="218"/>
      <c r="H56" s="218"/>
      <c r="I56" s="218"/>
      <c r="J56" s="226"/>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9"/>
      <c r="BF56" s="219"/>
      <c r="BG56" s="219"/>
    </row>
    <row r="57" spans="2:59" x14ac:dyDescent="0.3">
      <c r="B57" s="218"/>
      <c r="C57" s="218"/>
      <c r="D57" s="218"/>
      <c r="E57" s="218"/>
      <c r="F57" s="218"/>
      <c r="G57" s="218"/>
      <c r="H57" s="218"/>
      <c r="I57" s="218"/>
      <c r="J57" s="226"/>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9"/>
      <c r="BF57" s="219"/>
      <c r="BG57" s="219"/>
    </row>
    <row r="58" spans="2:59" x14ac:dyDescent="0.3">
      <c r="B58" s="218"/>
      <c r="C58" s="218"/>
      <c r="D58" s="218"/>
      <c r="E58" s="218"/>
      <c r="F58" s="218"/>
      <c r="G58" s="218"/>
      <c r="H58" s="218"/>
      <c r="I58" s="218"/>
      <c r="J58" s="226"/>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9"/>
      <c r="BF58" s="219"/>
      <c r="BG58" s="219"/>
    </row>
    <row r="59" spans="2:59" x14ac:dyDescent="0.3">
      <c r="B59" s="218"/>
      <c r="C59" s="218"/>
      <c r="D59" s="218"/>
      <c r="E59" s="218"/>
      <c r="F59" s="218"/>
      <c r="G59" s="218"/>
      <c r="H59" s="218"/>
      <c r="I59" s="218"/>
      <c r="J59" s="226"/>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9"/>
      <c r="BF59" s="219"/>
      <c r="BG59" s="219"/>
    </row>
    <row r="60" spans="2:59" x14ac:dyDescent="0.3">
      <c r="B60" s="218"/>
      <c r="C60" s="218"/>
      <c r="D60" s="218"/>
      <c r="E60" s="218"/>
      <c r="F60" s="218"/>
      <c r="G60" s="218"/>
      <c r="H60" s="218"/>
      <c r="I60" s="218"/>
      <c r="J60" s="226"/>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9"/>
      <c r="BF60" s="219"/>
      <c r="BG60" s="219"/>
    </row>
    <row r="61" spans="2:59" x14ac:dyDescent="0.3">
      <c r="B61" s="218"/>
      <c r="C61" s="218"/>
      <c r="D61" s="218"/>
      <c r="E61" s="218"/>
      <c r="F61" s="218"/>
      <c r="G61" s="218"/>
      <c r="H61" s="218"/>
      <c r="I61" s="218"/>
      <c r="J61" s="226"/>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9"/>
      <c r="BF61" s="219"/>
      <c r="BG61" s="219"/>
    </row>
    <row r="62" spans="2:59" x14ac:dyDescent="0.3">
      <c r="B62" s="218"/>
      <c r="C62" s="218"/>
      <c r="D62" s="218"/>
      <c r="E62" s="218"/>
      <c r="F62" s="218"/>
      <c r="G62" s="218"/>
      <c r="H62" s="218"/>
      <c r="I62" s="218"/>
      <c r="J62" s="226"/>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9"/>
      <c r="BF62" s="219"/>
      <c r="BG62" s="219"/>
    </row>
    <row r="63" spans="2:59" x14ac:dyDescent="0.3">
      <c r="B63" s="218"/>
      <c r="C63" s="218"/>
      <c r="D63" s="218"/>
      <c r="E63" s="218"/>
      <c r="F63" s="218"/>
      <c r="G63" s="218"/>
      <c r="H63" s="218"/>
      <c r="I63" s="218"/>
      <c r="J63" s="226"/>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9"/>
      <c r="BF63" s="219"/>
      <c r="BG63" s="219"/>
    </row>
    <row r="64" spans="2:59" x14ac:dyDescent="0.3">
      <c r="B64" s="218"/>
      <c r="C64" s="218"/>
      <c r="D64" s="218"/>
      <c r="E64" s="218"/>
      <c r="F64" s="218"/>
      <c r="G64" s="218"/>
      <c r="H64" s="218"/>
      <c r="I64" s="218"/>
      <c r="J64" s="226"/>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9"/>
      <c r="BF64" s="219"/>
      <c r="BG64" s="219"/>
    </row>
    <row r="65" spans="2:59" x14ac:dyDescent="0.3">
      <c r="B65" s="218"/>
      <c r="C65" s="218"/>
      <c r="D65" s="218"/>
      <c r="E65" s="218"/>
      <c r="F65" s="218"/>
      <c r="G65" s="218"/>
      <c r="H65" s="218"/>
      <c r="I65" s="218"/>
      <c r="J65" s="226"/>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9"/>
      <c r="BF65" s="219"/>
      <c r="BG65" s="219"/>
    </row>
    <row r="66" spans="2:59" x14ac:dyDescent="0.3">
      <c r="B66" s="218"/>
      <c r="C66" s="218"/>
      <c r="D66" s="218"/>
      <c r="E66" s="218"/>
      <c r="F66" s="218"/>
      <c r="G66" s="218"/>
      <c r="H66" s="218"/>
      <c r="I66" s="218"/>
      <c r="J66" s="226"/>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9"/>
      <c r="BF66" s="219"/>
      <c r="BG66" s="219"/>
    </row>
    <row r="67" spans="2:59" x14ac:dyDescent="0.3">
      <c r="B67" s="218"/>
      <c r="C67" s="218"/>
      <c r="D67" s="218"/>
      <c r="E67" s="218"/>
      <c r="F67" s="218"/>
      <c r="G67" s="218"/>
      <c r="H67" s="218"/>
      <c r="I67" s="218"/>
      <c r="J67" s="226"/>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9"/>
      <c r="BF67" s="219"/>
      <c r="BG67" s="219"/>
    </row>
    <row r="68" spans="2:59" x14ac:dyDescent="0.3">
      <c r="B68" s="218"/>
      <c r="C68" s="218"/>
      <c r="D68" s="218"/>
      <c r="E68" s="218"/>
      <c r="F68" s="218"/>
      <c r="G68" s="218"/>
      <c r="H68" s="218"/>
      <c r="I68" s="218"/>
      <c r="J68" s="226"/>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9"/>
      <c r="BF68" s="219"/>
      <c r="BG68" s="219"/>
    </row>
    <row r="69" spans="2:59" x14ac:dyDescent="0.3">
      <c r="B69" s="218"/>
      <c r="C69" s="218"/>
      <c r="D69" s="218"/>
      <c r="E69" s="218"/>
      <c r="F69" s="218"/>
      <c r="G69" s="218"/>
      <c r="H69" s="218"/>
      <c r="I69" s="218"/>
      <c r="J69" s="226"/>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9"/>
      <c r="BF69" s="219"/>
      <c r="BG69" s="219"/>
    </row>
    <row r="70" spans="2:59" x14ac:dyDescent="0.3">
      <c r="B70" s="218"/>
      <c r="C70" s="218"/>
      <c r="D70" s="218"/>
      <c r="E70" s="218"/>
      <c r="F70" s="218"/>
      <c r="G70" s="218"/>
      <c r="H70" s="218"/>
      <c r="I70" s="218"/>
      <c r="J70" s="226"/>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9"/>
      <c r="BF70" s="219"/>
      <c r="BG70" s="219"/>
    </row>
    <row r="71" spans="2:59" x14ac:dyDescent="0.3">
      <c r="B71" s="218"/>
      <c r="C71" s="218"/>
      <c r="D71" s="218"/>
      <c r="E71" s="218"/>
      <c r="F71" s="218"/>
      <c r="G71" s="218"/>
      <c r="H71" s="218"/>
      <c r="I71" s="218"/>
      <c r="J71" s="226"/>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9"/>
      <c r="BF71" s="219"/>
      <c r="BG71" s="219"/>
    </row>
    <row r="72" spans="2:59" x14ac:dyDescent="0.3">
      <c r="B72" s="218"/>
      <c r="C72" s="218"/>
      <c r="D72" s="218"/>
      <c r="E72" s="218"/>
      <c r="F72" s="218"/>
      <c r="G72" s="218"/>
      <c r="H72" s="218"/>
      <c r="I72" s="218"/>
      <c r="J72" s="226"/>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9"/>
      <c r="BF72" s="219"/>
      <c r="BG72" s="219"/>
    </row>
    <row r="73" spans="2:59" x14ac:dyDescent="0.3">
      <c r="B73" s="218"/>
      <c r="C73" s="218"/>
      <c r="D73" s="218"/>
      <c r="E73" s="218"/>
      <c r="F73" s="218"/>
      <c r="G73" s="218"/>
      <c r="H73" s="218"/>
      <c r="I73" s="218"/>
      <c r="J73" s="226"/>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9"/>
      <c r="BF73" s="219"/>
      <c r="BG73" s="219"/>
    </row>
    <row r="74" spans="2:59" x14ac:dyDescent="0.3">
      <c r="B74" s="218"/>
      <c r="C74" s="218"/>
      <c r="D74" s="218"/>
      <c r="E74" s="218"/>
      <c r="F74" s="218"/>
      <c r="G74" s="218"/>
      <c r="H74" s="218"/>
      <c r="I74" s="218"/>
      <c r="J74" s="226"/>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9"/>
      <c r="BF74" s="219"/>
      <c r="BG74" s="219"/>
    </row>
    <row r="75" spans="2:59" x14ac:dyDescent="0.3">
      <c r="B75" s="218"/>
      <c r="C75" s="218"/>
      <c r="D75" s="218"/>
      <c r="E75" s="218"/>
      <c r="F75" s="218"/>
      <c r="G75" s="218"/>
      <c r="H75" s="218"/>
      <c r="I75" s="218"/>
      <c r="J75" s="226"/>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9"/>
      <c r="BF75" s="219"/>
      <c r="BG75" s="219"/>
    </row>
    <row r="76" spans="2:59" x14ac:dyDescent="0.3">
      <c r="B76" s="218"/>
      <c r="C76" s="218"/>
      <c r="D76" s="218"/>
      <c r="E76" s="218"/>
      <c r="F76" s="218"/>
      <c r="G76" s="218"/>
      <c r="H76" s="218"/>
      <c r="I76" s="218"/>
      <c r="J76" s="226"/>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9"/>
      <c r="BF76" s="219"/>
      <c r="BG76" s="219"/>
    </row>
    <row r="77" spans="2:59" x14ac:dyDescent="0.3">
      <c r="B77" s="218"/>
      <c r="C77" s="218"/>
      <c r="D77" s="218"/>
      <c r="E77" s="218"/>
      <c r="F77" s="218"/>
      <c r="G77" s="218"/>
      <c r="H77" s="218"/>
      <c r="I77" s="218"/>
      <c r="J77" s="226"/>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9"/>
      <c r="BF77" s="219"/>
      <c r="BG77" s="219"/>
    </row>
    <row r="78" spans="2:59" x14ac:dyDescent="0.3">
      <c r="B78" s="218"/>
      <c r="C78" s="218"/>
      <c r="D78" s="218"/>
      <c r="E78" s="218"/>
      <c r="F78" s="218"/>
      <c r="G78" s="218"/>
      <c r="H78" s="218"/>
      <c r="I78" s="218"/>
      <c r="J78" s="226"/>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9"/>
      <c r="BF78" s="219"/>
      <c r="BG78" s="219"/>
    </row>
    <row r="79" spans="2:59" x14ac:dyDescent="0.3">
      <c r="B79" s="218"/>
      <c r="C79" s="218"/>
      <c r="D79" s="218"/>
      <c r="E79" s="218"/>
      <c r="F79" s="218"/>
      <c r="G79" s="218"/>
      <c r="H79" s="218"/>
      <c r="I79" s="218"/>
      <c r="J79" s="226"/>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9"/>
      <c r="BF79" s="219"/>
      <c r="BG79" s="219"/>
    </row>
    <row r="80" spans="2:59" x14ac:dyDescent="0.3">
      <c r="B80" s="218"/>
      <c r="C80" s="218"/>
      <c r="D80" s="218"/>
      <c r="E80" s="218"/>
      <c r="F80" s="218"/>
      <c r="G80" s="218"/>
      <c r="H80" s="218"/>
      <c r="I80" s="218"/>
      <c r="J80" s="226"/>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9"/>
      <c r="BF80" s="219"/>
      <c r="BG80" s="219"/>
    </row>
    <row r="81" spans="2:59" x14ac:dyDescent="0.3">
      <c r="B81" s="218"/>
      <c r="C81" s="218"/>
      <c r="D81" s="218"/>
      <c r="E81" s="218"/>
      <c r="F81" s="218"/>
      <c r="G81" s="218"/>
      <c r="H81" s="218"/>
      <c r="I81" s="218"/>
      <c r="J81" s="226"/>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9"/>
      <c r="BF81" s="219"/>
      <c r="BG81" s="219"/>
    </row>
    <row r="82" spans="2:59" x14ac:dyDescent="0.3">
      <c r="B82" s="218"/>
      <c r="C82" s="218"/>
      <c r="D82" s="218"/>
      <c r="E82" s="218"/>
      <c r="F82" s="218"/>
      <c r="G82" s="218"/>
      <c r="H82" s="218"/>
      <c r="I82" s="218"/>
      <c r="J82" s="226"/>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9"/>
      <c r="BF82" s="219"/>
      <c r="BG82" s="219"/>
    </row>
    <row r="83" spans="2:59" x14ac:dyDescent="0.3">
      <c r="B83" s="218"/>
      <c r="C83" s="218"/>
      <c r="D83" s="218"/>
      <c r="E83" s="218"/>
      <c r="F83" s="218"/>
      <c r="G83" s="218"/>
      <c r="H83" s="218"/>
      <c r="I83" s="218"/>
      <c r="J83" s="226"/>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9"/>
      <c r="BF83" s="219"/>
      <c r="BG83" s="219"/>
    </row>
    <row r="84" spans="2:59" x14ac:dyDescent="0.3">
      <c r="B84" s="218"/>
      <c r="C84" s="218"/>
      <c r="D84" s="218"/>
      <c r="E84" s="218"/>
      <c r="F84" s="218"/>
      <c r="G84" s="218"/>
      <c r="H84" s="218"/>
      <c r="I84" s="218"/>
      <c r="J84" s="226"/>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9"/>
      <c r="BF84" s="219"/>
      <c r="BG84" s="219"/>
    </row>
    <row r="85" spans="2:59" x14ac:dyDescent="0.3">
      <c r="B85" s="218"/>
      <c r="C85" s="218"/>
      <c r="D85" s="218"/>
      <c r="E85" s="218"/>
      <c r="F85" s="218"/>
      <c r="G85" s="218"/>
      <c r="H85" s="218"/>
      <c r="I85" s="218"/>
      <c r="J85" s="226"/>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9"/>
      <c r="BF85" s="219"/>
      <c r="BG85" s="219"/>
    </row>
    <row r="86" spans="2:59" x14ac:dyDescent="0.3">
      <c r="B86" s="218"/>
      <c r="C86" s="218"/>
      <c r="D86" s="218"/>
      <c r="E86" s="218"/>
      <c r="F86" s="218"/>
      <c r="G86" s="218"/>
      <c r="H86" s="218"/>
      <c r="I86" s="218"/>
      <c r="J86" s="226"/>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9"/>
      <c r="BF86" s="219"/>
      <c r="BG86" s="219"/>
    </row>
    <row r="87" spans="2:59" x14ac:dyDescent="0.3">
      <c r="B87" s="218"/>
      <c r="C87" s="218"/>
      <c r="D87" s="218"/>
      <c r="E87" s="218"/>
      <c r="F87" s="218"/>
      <c r="G87" s="218"/>
      <c r="H87" s="218"/>
      <c r="I87" s="218"/>
      <c r="J87" s="226"/>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9"/>
      <c r="BF87" s="219"/>
      <c r="BG87" s="219"/>
    </row>
    <row r="88" spans="2:59" x14ac:dyDescent="0.3">
      <c r="B88" s="218"/>
      <c r="C88" s="218"/>
      <c r="D88" s="218"/>
      <c r="E88" s="218"/>
      <c r="F88" s="218"/>
      <c r="G88" s="218"/>
      <c r="H88" s="218"/>
      <c r="I88" s="218"/>
      <c r="J88" s="226"/>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9"/>
      <c r="BF88" s="219"/>
      <c r="BG88" s="219"/>
    </row>
    <row r="89" spans="2:59" x14ac:dyDescent="0.3">
      <c r="B89" s="218"/>
      <c r="C89" s="218"/>
      <c r="D89" s="218"/>
      <c r="E89" s="218"/>
      <c r="F89" s="218"/>
      <c r="G89" s="218"/>
      <c r="H89" s="218"/>
      <c r="I89" s="218"/>
      <c r="J89" s="226"/>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9"/>
      <c r="BF89" s="219"/>
      <c r="BG89" s="219"/>
    </row>
    <row r="90" spans="2:59" x14ac:dyDescent="0.3">
      <c r="B90" s="218"/>
      <c r="C90" s="218"/>
      <c r="D90" s="218"/>
      <c r="E90" s="218"/>
      <c r="F90" s="218"/>
      <c r="G90" s="218"/>
      <c r="H90" s="218"/>
      <c r="I90" s="218"/>
      <c r="J90" s="226"/>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9"/>
      <c r="BF90" s="219"/>
      <c r="BG90" s="219"/>
    </row>
    <row r="91" spans="2:59" x14ac:dyDescent="0.3">
      <c r="B91" s="218"/>
      <c r="C91" s="218"/>
      <c r="D91" s="218"/>
      <c r="E91" s="218"/>
      <c r="F91" s="218"/>
      <c r="G91" s="218"/>
      <c r="H91" s="218"/>
      <c r="I91" s="218"/>
      <c r="J91" s="226"/>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9"/>
      <c r="BF91" s="219"/>
      <c r="BG91" s="219"/>
    </row>
    <row r="92" spans="2:59" x14ac:dyDescent="0.3">
      <c r="B92" s="218"/>
      <c r="C92" s="218"/>
      <c r="D92" s="218"/>
      <c r="E92" s="218"/>
      <c r="F92" s="218"/>
      <c r="G92" s="218"/>
      <c r="H92" s="218"/>
      <c r="I92" s="218"/>
      <c r="J92" s="226"/>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9"/>
      <c r="BF92" s="219"/>
      <c r="BG92" s="219"/>
    </row>
    <row r="93" spans="2:59" x14ac:dyDescent="0.3">
      <c r="B93" s="218"/>
      <c r="C93" s="218"/>
      <c r="D93" s="218"/>
      <c r="E93" s="218"/>
      <c r="F93" s="218"/>
      <c r="G93" s="218"/>
      <c r="H93" s="218"/>
      <c r="I93" s="218"/>
      <c r="J93" s="226"/>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9"/>
      <c r="BF93" s="219"/>
      <c r="BG93" s="219"/>
    </row>
    <row r="94" spans="2:59" x14ac:dyDescent="0.3">
      <c r="B94" s="218"/>
      <c r="C94" s="218"/>
      <c r="D94" s="218"/>
      <c r="E94" s="218"/>
      <c r="F94" s="218"/>
      <c r="G94" s="218"/>
      <c r="H94" s="218"/>
      <c r="I94" s="218"/>
      <c r="J94" s="226"/>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9"/>
      <c r="BF94" s="219"/>
      <c r="BG94" s="219"/>
    </row>
    <row r="95" spans="2:59" x14ac:dyDescent="0.3">
      <c r="B95" s="218"/>
      <c r="C95" s="218"/>
      <c r="D95" s="218"/>
      <c r="E95" s="218"/>
      <c r="F95" s="218"/>
      <c r="G95" s="218"/>
      <c r="H95" s="218"/>
      <c r="I95" s="218"/>
      <c r="J95" s="226"/>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9"/>
      <c r="BF95" s="219"/>
      <c r="BG95" s="219"/>
    </row>
    <row r="96" spans="2:59" x14ac:dyDescent="0.3">
      <c r="B96" s="218"/>
      <c r="C96" s="218"/>
      <c r="D96" s="218"/>
      <c r="E96" s="218"/>
      <c r="F96" s="218"/>
      <c r="G96" s="218"/>
      <c r="H96" s="218"/>
      <c r="I96" s="218"/>
      <c r="J96" s="226"/>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9"/>
      <c r="BF96" s="219"/>
      <c r="BG96" s="219"/>
    </row>
    <row r="97" spans="2:59" x14ac:dyDescent="0.3">
      <c r="B97" s="218"/>
      <c r="C97" s="218"/>
      <c r="D97" s="218"/>
      <c r="E97" s="218"/>
      <c r="F97" s="218"/>
      <c r="G97" s="218"/>
      <c r="H97" s="218"/>
      <c r="I97" s="218"/>
      <c r="J97" s="226"/>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9"/>
      <c r="BF97" s="219"/>
      <c r="BG97" s="219"/>
    </row>
    <row r="98" spans="2:59" x14ac:dyDescent="0.3">
      <c r="B98" s="218"/>
      <c r="C98" s="218"/>
      <c r="D98" s="218"/>
      <c r="E98" s="218"/>
      <c r="F98" s="218"/>
      <c r="G98" s="218"/>
      <c r="H98" s="218"/>
      <c r="I98" s="218"/>
      <c r="J98" s="226"/>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9"/>
      <c r="BF98" s="219"/>
      <c r="BG98" s="219"/>
    </row>
    <row r="99" spans="2:59" x14ac:dyDescent="0.3">
      <c r="B99" s="218"/>
      <c r="C99" s="218"/>
      <c r="D99" s="218"/>
      <c r="E99" s="218"/>
      <c r="F99" s="218"/>
      <c r="G99" s="218"/>
      <c r="H99" s="218"/>
      <c r="I99" s="218"/>
      <c r="J99" s="226"/>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9"/>
      <c r="BF99" s="219"/>
      <c r="BG99" s="219"/>
    </row>
    <row r="100" spans="2:59" x14ac:dyDescent="0.3">
      <c r="B100" s="218"/>
      <c r="C100" s="218"/>
      <c r="D100" s="218"/>
      <c r="E100" s="218"/>
      <c r="F100" s="218"/>
      <c r="G100" s="218"/>
      <c r="H100" s="218"/>
      <c r="I100" s="218"/>
      <c r="J100" s="226"/>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9"/>
      <c r="BF100" s="219"/>
      <c r="BG100" s="219"/>
    </row>
    <row r="101" spans="2:59" x14ac:dyDescent="0.3">
      <c r="B101" s="218"/>
      <c r="C101" s="218"/>
      <c r="D101" s="218"/>
      <c r="E101" s="218"/>
      <c r="F101" s="218"/>
      <c r="G101" s="218"/>
      <c r="H101" s="218"/>
      <c r="I101" s="218"/>
      <c r="J101" s="226"/>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9"/>
      <c r="BF101" s="219"/>
      <c r="BG101" s="219"/>
    </row>
    <row r="102" spans="2:59" x14ac:dyDescent="0.3">
      <c r="B102" s="218"/>
      <c r="C102" s="218"/>
      <c r="D102" s="218"/>
      <c r="E102" s="218"/>
      <c r="F102" s="218"/>
      <c r="G102" s="218"/>
      <c r="H102" s="218"/>
      <c r="I102" s="218"/>
      <c r="J102" s="226"/>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9"/>
      <c r="BF102" s="219"/>
      <c r="BG102" s="219"/>
    </row>
    <row r="103" spans="2:59" x14ac:dyDescent="0.3">
      <c r="B103" s="218"/>
      <c r="C103" s="218"/>
      <c r="D103" s="218"/>
      <c r="E103" s="218"/>
      <c r="F103" s="218"/>
      <c r="G103" s="218"/>
      <c r="H103" s="218"/>
      <c r="I103" s="218"/>
      <c r="J103" s="226"/>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9"/>
      <c r="BF103" s="219"/>
      <c r="BG103" s="219"/>
    </row>
    <row r="104" spans="2:59" x14ac:dyDescent="0.3">
      <c r="B104" s="218"/>
      <c r="C104" s="218"/>
      <c r="D104" s="218"/>
      <c r="E104" s="218"/>
      <c r="F104" s="218"/>
      <c r="G104" s="218"/>
      <c r="H104" s="218"/>
      <c r="I104" s="218"/>
      <c r="J104" s="226"/>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9"/>
      <c r="BF104" s="219"/>
      <c r="BG104" s="219"/>
    </row>
    <row r="105" spans="2:59" x14ac:dyDescent="0.3">
      <c r="B105" s="218"/>
      <c r="C105" s="218"/>
      <c r="D105" s="218"/>
      <c r="E105" s="218"/>
      <c r="F105" s="218"/>
      <c r="G105" s="218"/>
      <c r="H105" s="218"/>
      <c r="I105" s="218"/>
      <c r="J105" s="226"/>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9"/>
      <c r="BF105" s="219"/>
      <c r="BG105" s="219"/>
    </row>
    <row r="106" spans="2:59" x14ac:dyDescent="0.3">
      <c r="B106" s="218"/>
      <c r="C106" s="218"/>
      <c r="D106" s="218"/>
      <c r="E106" s="218"/>
      <c r="F106" s="218"/>
      <c r="G106" s="218"/>
      <c r="H106" s="218"/>
      <c r="I106" s="218"/>
      <c r="J106" s="226"/>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9"/>
      <c r="BF106" s="219"/>
      <c r="BG106" s="219"/>
    </row>
    <row r="107" spans="2:59" x14ac:dyDescent="0.3">
      <c r="B107" s="218"/>
      <c r="C107" s="218"/>
      <c r="D107" s="218"/>
      <c r="E107" s="218"/>
      <c r="F107" s="218"/>
      <c r="G107" s="218"/>
      <c r="H107" s="218"/>
      <c r="I107" s="218"/>
      <c r="J107" s="226"/>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9"/>
      <c r="BF107" s="219"/>
      <c r="BG107" s="219"/>
    </row>
    <row r="108" spans="2:59" x14ac:dyDescent="0.3">
      <c r="B108" s="218"/>
      <c r="C108" s="218"/>
      <c r="D108" s="218"/>
      <c r="E108" s="218"/>
      <c r="F108" s="218"/>
      <c r="G108" s="218"/>
      <c r="H108" s="218"/>
      <c r="I108" s="218"/>
      <c r="J108" s="226"/>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9"/>
      <c r="BF108" s="219"/>
      <c r="BG108" s="219"/>
    </row>
    <row r="109" spans="2:59" x14ac:dyDescent="0.3">
      <c r="B109" s="218"/>
      <c r="C109" s="218"/>
      <c r="D109" s="218"/>
      <c r="E109" s="218"/>
      <c r="F109" s="218"/>
      <c r="G109" s="218"/>
      <c r="H109" s="218"/>
      <c r="I109" s="218"/>
      <c r="J109" s="226"/>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9"/>
      <c r="BF109" s="219"/>
      <c r="BG109" s="219"/>
    </row>
    <row r="110" spans="2:59" x14ac:dyDescent="0.3">
      <c r="B110" s="218"/>
      <c r="C110" s="218"/>
      <c r="D110" s="218"/>
      <c r="E110" s="218"/>
      <c r="F110" s="218"/>
      <c r="G110" s="218"/>
      <c r="H110" s="218"/>
      <c r="I110" s="218"/>
      <c r="J110" s="226"/>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9"/>
      <c r="BF110" s="219"/>
      <c r="BG110" s="219"/>
    </row>
    <row r="111" spans="2:59" x14ac:dyDescent="0.3">
      <c r="B111" s="218"/>
      <c r="C111" s="218"/>
      <c r="D111" s="218"/>
      <c r="E111" s="218"/>
      <c r="F111" s="218"/>
      <c r="G111" s="218"/>
      <c r="H111" s="218"/>
      <c r="I111" s="218"/>
      <c r="J111" s="226"/>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9"/>
      <c r="BF111" s="219"/>
      <c r="BG111" s="219"/>
    </row>
    <row r="112" spans="2:59" x14ac:dyDescent="0.3">
      <c r="B112" s="218"/>
      <c r="C112" s="218"/>
      <c r="D112" s="218"/>
      <c r="E112" s="218"/>
      <c r="F112" s="218"/>
      <c r="G112" s="218"/>
      <c r="H112" s="218"/>
      <c r="I112" s="218"/>
      <c r="J112" s="226"/>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9"/>
      <c r="BF112" s="219"/>
      <c r="BG112" s="219"/>
    </row>
    <row r="113" spans="2:59" x14ac:dyDescent="0.3">
      <c r="B113" s="218"/>
      <c r="C113" s="218"/>
      <c r="D113" s="218"/>
      <c r="E113" s="218"/>
      <c r="F113" s="218"/>
      <c r="G113" s="218"/>
      <c r="H113" s="218"/>
      <c r="I113" s="218"/>
      <c r="J113" s="226"/>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9"/>
      <c r="BF113" s="219"/>
      <c r="BG113" s="219"/>
    </row>
    <row r="114" spans="2:59" x14ac:dyDescent="0.3">
      <c r="B114" s="218"/>
      <c r="C114" s="218"/>
      <c r="D114" s="218"/>
      <c r="E114" s="218"/>
      <c r="F114" s="218"/>
      <c r="G114" s="218"/>
      <c r="H114" s="218"/>
      <c r="I114" s="218"/>
      <c r="J114" s="226"/>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9"/>
      <c r="BF114" s="219"/>
      <c r="BG114" s="219"/>
    </row>
    <row r="115" spans="2:59" x14ac:dyDescent="0.3">
      <c r="B115" s="218"/>
      <c r="C115" s="218"/>
      <c r="D115" s="218"/>
      <c r="E115" s="218"/>
      <c r="F115" s="218"/>
      <c r="G115" s="218"/>
      <c r="H115" s="218"/>
      <c r="I115" s="218"/>
      <c r="J115" s="226"/>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9"/>
      <c r="BF115" s="219"/>
      <c r="BG115" s="219"/>
    </row>
    <row r="116" spans="2:59" x14ac:dyDescent="0.3">
      <c r="B116" s="218"/>
      <c r="C116" s="218"/>
      <c r="D116" s="218"/>
      <c r="E116" s="218"/>
      <c r="F116" s="218"/>
      <c r="G116" s="218"/>
      <c r="H116" s="218"/>
      <c r="I116" s="218"/>
      <c r="J116" s="226"/>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9"/>
      <c r="BF116" s="219"/>
      <c r="BG116" s="219"/>
    </row>
    <row r="117" spans="2:59" x14ac:dyDescent="0.3">
      <c r="B117" s="218"/>
      <c r="C117" s="218"/>
      <c r="D117" s="218"/>
      <c r="E117" s="218"/>
      <c r="F117" s="218"/>
      <c r="G117" s="218"/>
      <c r="H117" s="218"/>
      <c r="I117" s="218"/>
      <c r="J117" s="226"/>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9"/>
      <c r="BF117" s="219"/>
      <c r="BG117" s="219"/>
    </row>
    <row r="118" spans="2:59" x14ac:dyDescent="0.3">
      <c r="B118" s="218"/>
      <c r="C118" s="218"/>
      <c r="D118" s="218"/>
      <c r="E118" s="218"/>
      <c r="F118" s="218"/>
      <c r="G118" s="218"/>
      <c r="H118" s="218"/>
      <c r="I118" s="218"/>
      <c r="J118" s="226"/>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9"/>
      <c r="BF118" s="219"/>
      <c r="BG118" s="219"/>
    </row>
    <row r="119" spans="2:59" x14ac:dyDescent="0.3">
      <c r="B119" s="218"/>
      <c r="C119" s="218"/>
      <c r="D119" s="218"/>
      <c r="E119" s="218"/>
      <c r="F119" s="218"/>
      <c r="G119" s="218"/>
      <c r="H119" s="218"/>
      <c r="I119" s="218"/>
      <c r="J119" s="226"/>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9"/>
      <c r="BF119" s="219"/>
      <c r="BG119" s="219"/>
    </row>
    <row r="120" spans="2:59" x14ac:dyDescent="0.3">
      <c r="B120" s="218"/>
      <c r="C120" s="218"/>
      <c r="D120" s="218"/>
      <c r="E120" s="218"/>
      <c r="F120" s="218"/>
      <c r="G120" s="218"/>
      <c r="H120" s="218"/>
      <c r="I120" s="218"/>
      <c r="J120" s="226"/>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9"/>
      <c r="BF120" s="219"/>
      <c r="BG120" s="219"/>
    </row>
    <row r="121" spans="2:59" x14ac:dyDescent="0.3">
      <c r="B121" s="218"/>
      <c r="C121" s="218"/>
      <c r="D121" s="218"/>
      <c r="E121" s="218"/>
      <c r="F121" s="218"/>
      <c r="G121" s="218"/>
      <c r="H121" s="218"/>
      <c r="I121" s="218"/>
      <c r="J121" s="226"/>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9"/>
      <c r="BF121" s="219"/>
      <c r="BG121" s="219"/>
    </row>
    <row r="122" spans="2:59" x14ac:dyDescent="0.3">
      <c r="B122" s="218"/>
      <c r="C122" s="218"/>
      <c r="D122" s="218"/>
      <c r="E122" s="218"/>
      <c r="F122" s="218"/>
      <c r="G122" s="218"/>
      <c r="H122" s="218"/>
      <c r="I122" s="218"/>
      <c r="J122" s="226"/>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9"/>
      <c r="BF122" s="219"/>
      <c r="BG122" s="219"/>
    </row>
    <row r="123" spans="2:59" x14ac:dyDescent="0.3">
      <c r="B123" s="218"/>
      <c r="C123" s="218"/>
      <c r="D123" s="218"/>
      <c r="E123" s="218"/>
      <c r="F123" s="218"/>
      <c r="G123" s="218"/>
      <c r="H123" s="218"/>
      <c r="I123" s="218"/>
      <c r="J123" s="226"/>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9"/>
      <c r="BF123" s="219"/>
      <c r="BG123" s="219"/>
    </row>
    <row r="124" spans="2:59" x14ac:dyDescent="0.3">
      <c r="B124" s="218"/>
      <c r="C124" s="218"/>
      <c r="D124" s="218"/>
      <c r="E124" s="218"/>
      <c r="F124" s="218"/>
      <c r="G124" s="218"/>
      <c r="H124" s="218"/>
      <c r="I124" s="218"/>
      <c r="J124" s="226"/>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9"/>
      <c r="BF124" s="219"/>
      <c r="BG124" s="219"/>
    </row>
    <row r="125" spans="2:59" x14ac:dyDescent="0.3">
      <c r="B125" s="218"/>
      <c r="C125" s="218"/>
      <c r="D125" s="218"/>
      <c r="E125" s="218"/>
      <c r="F125" s="218"/>
      <c r="G125" s="218"/>
      <c r="H125" s="218"/>
      <c r="I125" s="218"/>
      <c r="J125" s="226"/>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9"/>
      <c r="BF125" s="219"/>
      <c r="BG125" s="219"/>
    </row>
    <row r="126" spans="2:59" x14ac:dyDescent="0.3">
      <c r="B126" s="218"/>
      <c r="C126" s="218"/>
      <c r="D126" s="218"/>
      <c r="E126" s="218"/>
      <c r="F126" s="218"/>
      <c r="G126" s="218"/>
      <c r="H126" s="218"/>
      <c r="I126" s="218"/>
      <c r="J126" s="226"/>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9"/>
      <c r="BF126" s="219"/>
      <c r="BG126" s="219"/>
    </row>
    <row r="127" spans="2:59" x14ac:dyDescent="0.3">
      <c r="B127" s="218"/>
      <c r="C127" s="218"/>
      <c r="D127" s="218"/>
      <c r="E127" s="218"/>
      <c r="F127" s="218"/>
      <c r="G127" s="218"/>
      <c r="H127" s="218"/>
      <c r="I127" s="218"/>
      <c r="J127" s="226"/>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9"/>
      <c r="BF127" s="219"/>
      <c r="BG127" s="219"/>
    </row>
    <row r="128" spans="2:59" x14ac:dyDescent="0.3">
      <c r="B128" s="218"/>
      <c r="C128" s="218"/>
      <c r="D128" s="218"/>
      <c r="E128" s="218"/>
      <c r="F128" s="218"/>
      <c r="G128" s="218"/>
      <c r="H128" s="218"/>
      <c r="I128" s="218"/>
      <c r="J128" s="226"/>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9"/>
      <c r="BF128" s="219"/>
      <c r="BG128" s="219"/>
    </row>
    <row r="129" spans="2:59" x14ac:dyDescent="0.3">
      <c r="B129" s="218"/>
      <c r="C129" s="218"/>
      <c r="D129" s="218"/>
      <c r="E129" s="218"/>
      <c r="F129" s="218"/>
      <c r="G129" s="218"/>
      <c r="H129" s="218"/>
      <c r="I129" s="218"/>
      <c r="J129" s="226"/>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9"/>
      <c r="BF129" s="219"/>
      <c r="BG129" s="219"/>
    </row>
    <row r="130" spans="2:59" x14ac:dyDescent="0.3">
      <c r="B130" s="218"/>
      <c r="C130" s="218"/>
      <c r="D130" s="218"/>
      <c r="E130" s="218"/>
      <c r="F130" s="218"/>
      <c r="G130" s="218"/>
      <c r="H130" s="218"/>
      <c r="I130" s="218"/>
      <c r="J130" s="226"/>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9"/>
      <c r="BF130" s="219"/>
      <c r="BG130" s="219"/>
    </row>
    <row r="131" spans="2:59" x14ac:dyDescent="0.3">
      <c r="B131" s="218"/>
      <c r="C131" s="218"/>
      <c r="D131" s="218"/>
      <c r="E131" s="218"/>
      <c r="F131" s="218"/>
      <c r="G131" s="218"/>
      <c r="H131" s="218"/>
      <c r="I131" s="218"/>
      <c r="J131" s="226"/>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219"/>
      <c r="AH131" s="219"/>
      <c r="AI131" s="219"/>
      <c r="AJ131" s="219"/>
      <c r="AK131" s="219"/>
      <c r="AL131" s="219"/>
      <c r="AM131" s="219"/>
      <c r="AN131" s="219"/>
      <c r="AO131" s="219"/>
      <c r="AP131" s="219"/>
      <c r="AQ131" s="219"/>
      <c r="AR131" s="219"/>
      <c r="AS131" s="219"/>
      <c r="AT131" s="219"/>
      <c r="AU131" s="219"/>
      <c r="AV131" s="219"/>
      <c r="AW131" s="219"/>
      <c r="AX131" s="219"/>
      <c r="AY131" s="219"/>
      <c r="AZ131" s="219"/>
      <c r="BA131" s="219"/>
      <c r="BB131" s="219"/>
      <c r="BC131" s="219"/>
      <c r="BD131" s="219"/>
      <c r="BE131" s="219"/>
      <c r="BF131" s="219"/>
      <c r="BG131" s="219"/>
    </row>
    <row r="132" spans="2:59" x14ac:dyDescent="0.3">
      <c r="B132" s="218"/>
      <c r="C132" s="218"/>
      <c r="D132" s="218"/>
      <c r="E132" s="218"/>
      <c r="F132" s="218"/>
      <c r="G132" s="218"/>
      <c r="H132" s="218"/>
      <c r="I132" s="218"/>
      <c r="J132" s="226"/>
      <c r="K132" s="219"/>
      <c r="L132" s="219"/>
      <c r="M132" s="219"/>
      <c r="N132" s="219"/>
      <c r="O132" s="219"/>
      <c r="P132" s="219"/>
      <c r="Q132" s="219"/>
      <c r="R132" s="219"/>
      <c r="S132" s="219"/>
      <c r="T132" s="219"/>
      <c r="U132" s="219"/>
      <c r="V132" s="219"/>
      <c r="W132" s="219"/>
      <c r="X132" s="219"/>
      <c r="Y132" s="219"/>
      <c r="Z132" s="219"/>
      <c r="AA132" s="219"/>
      <c r="AB132" s="219"/>
      <c r="AC132" s="219"/>
      <c r="AD132" s="219"/>
      <c r="AE132" s="219"/>
      <c r="AF132" s="219"/>
      <c r="AG132" s="219"/>
      <c r="AH132" s="219"/>
      <c r="AI132" s="219"/>
      <c r="AJ132" s="219"/>
      <c r="AK132" s="219"/>
      <c r="AL132" s="219"/>
      <c r="AM132" s="219"/>
      <c r="AN132" s="219"/>
      <c r="AO132" s="219"/>
      <c r="AP132" s="219"/>
      <c r="AQ132" s="219"/>
      <c r="AR132" s="219"/>
      <c r="AS132" s="219"/>
      <c r="AT132" s="219"/>
      <c r="AU132" s="219"/>
      <c r="AV132" s="219"/>
      <c r="AW132" s="219"/>
      <c r="AX132" s="219"/>
      <c r="AY132" s="219"/>
      <c r="AZ132" s="219"/>
      <c r="BA132" s="219"/>
      <c r="BB132" s="219"/>
      <c r="BC132" s="219"/>
      <c r="BD132" s="219"/>
      <c r="BE132" s="219"/>
      <c r="BF132" s="219"/>
      <c r="BG132" s="219"/>
    </row>
    <row r="133" spans="2:59" x14ac:dyDescent="0.3">
      <c r="B133" s="218"/>
      <c r="C133" s="218"/>
      <c r="D133" s="218"/>
      <c r="E133" s="218"/>
      <c r="F133" s="218"/>
      <c r="G133" s="218"/>
      <c r="H133" s="218"/>
      <c r="I133" s="218"/>
      <c r="J133" s="226"/>
      <c r="K133" s="219"/>
      <c r="L133" s="219"/>
      <c r="M133" s="219"/>
      <c r="N133" s="219"/>
      <c r="O133" s="219"/>
      <c r="P133" s="219"/>
      <c r="Q133" s="219"/>
      <c r="R133" s="219"/>
      <c r="S133" s="219"/>
      <c r="T133" s="219"/>
      <c r="U133" s="219"/>
      <c r="V133" s="219"/>
      <c r="W133" s="219"/>
      <c r="X133" s="219"/>
      <c r="Y133" s="219"/>
      <c r="Z133" s="219"/>
      <c r="AA133" s="219"/>
      <c r="AB133" s="219"/>
      <c r="AC133" s="219"/>
      <c r="AD133" s="219"/>
      <c r="AE133" s="219"/>
      <c r="AF133" s="219"/>
      <c r="AG133" s="219"/>
      <c r="AH133" s="219"/>
      <c r="AI133" s="219"/>
      <c r="AJ133" s="219"/>
      <c r="AK133" s="219"/>
      <c r="AL133" s="219"/>
      <c r="AM133" s="219"/>
      <c r="AN133" s="219"/>
      <c r="AO133" s="219"/>
      <c r="AP133" s="219"/>
      <c r="AQ133" s="219"/>
      <c r="AR133" s="219"/>
      <c r="AS133" s="219"/>
      <c r="AT133" s="219"/>
      <c r="AU133" s="219"/>
      <c r="AV133" s="219"/>
      <c r="AW133" s="219"/>
      <c r="AX133" s="219"/>
      <c r="AY133" s="219"/>
      <c r="AZ133" s="219"/>
      <c r="BA133" s="219"/>
      <c r="BB133" s="219"/>
      <c r="BC133" s="219"/>
      <c r="BD133" s="219"/>
      <c r="BE133" s="219"/>
      <c r="BF133" s="219"/>
      <c r="BG133" s="219"/>
    </row>
    <row r="134" spans="2:59" x14ac:dyDescent="0.3">
      <c r="B134" s="218"/>
      <c r="C134" s="218"/>
      <c r="D134" s="218"/>
      <c r="E134" s="218"/>
      <c r="F134" s="218"/>
      <c r="G134" s="218"/>
      <c r="H134" s="218"/>
      <c r="I134" s="218"/>
      <c r="J134" s="226"/>
      <c r="K134" s="219"/>
      <c r="L134" s="219"/>
      <c r="M134" s="219"/>
      <c r="N134" s="219"/>
      <c r="O134" s="219"/>
      <c r="P134" s="219"/>
      <c r="Q134" s="219"/>
      <c r="R134" s="219"/>
      <c r="S134" s="219"/>
      <c r="T134" s="219"/>
      <c r="U134" s="219"/>
      <c r="V134" s="219"/>
      <c r="W134" s="219"/>
      <c r="X134" s="219"/>
      <c r="Y134" s="219"/>
      <c r="Z134" s="219"/>
      <c r="AA134" s="219"/>
      <c r="AB134" s="219"/>
      <c r="AC134" s="219"/>
      <c r="AD134" s="219"/>
      <c r="AE134" s="219"/>
      <c r="AF134" s="219"/>
      <c r="AG134" s="219"/>
      <c r="AH134" s="219"/>
      <c r="AI134" s="219"/>
      <c r="AJ134" s="219"/>
      <c r="AK134" s="219"/>
      <c r="AL134" s="219"/>
      <c r="AM134" s="219"/>
      <c r="AN134" s="219"/>
      <c r="AO134" s="219"/>
      <c r="AP134" s="219"/>
      <c r="AQ134" s="219"/>
      <c r="AR134" s="219"/>
      <c r="AS134" s="219"/>
      <c r="AT134" s="219"/>
      <c r="AU134" s="219"/>
      <c r="AV134" s="219"/>
      <c r="AW134" s="219"/>
      <c r="AX134" s="219"/>
      <c r="AY134" s="219"/>
      <c r="AZ134" s="219"/>
      <c r="BA134" s="219"/>
      <c r="BB134" s="219"/>
      <c r="BC134" s="219"/>
      <c r="BD134" s="219"/>
      <c r="BE134" s="219"/>
      <c r="BF134" s="219"/>
      <c r="BG134" s="219"/>
    </row>
    <row r="135" spans="2:59" x14ac:dyDescent="0.3">
      <c r="B135" s="218"/>
      <c r="C135" s="218"/>
      <c r="D135" s="218"/>
      <c r="E135" s="218"/>
      <c r="F135" s="218"/>
      <c r="G135" s="218"/>
      <c r="H135" s="218"/>
      <c r="I135" s="218"/>
      <c r="J135" s="226"/>
      <c r="K135" s="219"/>
      <c r="L135" s="219"/>
      <c r="M135" s="219"/>
      <c r="N135" s="219"/>
      <c r="O135" s="219"/>
      <c r="P135" s="219"/>
      <c r="Q135" s="219"/>
      <c r="R135" s="219"/>
      <c r="S135" s="219"/>
      <c r="T135" s="219"/>
      <c r="U135" s="219"/>
      <c r="V135" s="219"/>
      <c r="W135" s="219"/>
      <c r="X135" s="219"/>
      <c r="Y135" s="219"/>
      <c r="Z135" s="219"/>
      <c r="AA135" s="219"/>
      <c r="AB135" s="219"/>
      <c r="AC135" s="219"/>
      <c r="AD135" s="219"/>
      <c r="AE135" s="219"/>
      <c r="AF135" s="219"/>
      <c r="AG135" s="219"/>
      <c r="AH135" s="219"/>
      <c r="AI135" s="219"/>
      <c r="AJ135" s="219"/>
      <c r="AK135" s="219"/>
      <c r="AL135" s="219"/>
      <c r="AM135" s="219"/>
      <c r="AN135" s="219"/>
      <c r="AO135" s="219"/>
      <c r="AP135" s="219"/>
      <c r="AQ135" s="219"/>
      <c r="AR135" s="219"/>
      <c r="AS135" s="219"/>
      <c r="AT135" s="219"/>
      <c r="AU135" s="219"/>
      <c r="AV135" s="219"/>
      <c r="AW135" s="219"/>
      <c r="AX135" s="219"/>
      <c r="AY135" s="219"/>
      <c r="AZ135" s="219"/>
      <c r="BA135" s="219"/>
      <c r="BB135" s="219"/>
      <c r="BC135" s="219"/>
      <c r="BD135" s="219"/>
      <c r="BE135" s="219"/>
      <c r="BF135" s="219"/>
      <c r="BG135" s="219"/>
    </row>
    <row r="136" spans="2:59" x14ac:dyDescent="0.3">
      <c r="B136" s="218"/>
      <c r="C136" s="218"/>
      <c r="D136" s="218"/>
      <c r="E136" s="218"/>
      <c r="F136" s="218"/>
      <c r="G136" s="218"/>
      <c r="H136" s="218"/>
      <c r="I136" s="218"/>
      <c r="J136" s="226"/>
      <c r="P136" s="219"/>
      <c r="Q136" s="219"/>
      <c r="R136" s="219"/>
      <c r="S136" s="219"/>
      <c r="T136" s="219"/>
      <c r="U136" s="219"/>
      <c r="V136" s="219"/>
      <c r="W136" s="219"/>
      <c r="X136" s="219"/>
      <c r="Y136" s="219"/>
      <c r="Z136" s="219"/>
      <c r="AA136" s="219"/>
      <c r="AB136" s="219"/>
      <c r="AC136" s="219"/>
      <c r="AD136" s="219"/>
      <c r="AE136" s="219"/>
      <c r="AF136" s="219"/>
      <c r="AG136" s="219"/>
      <c r="AH136" s="219"/>
      <c r="AI136" s="219"/>
      <c r="AJ136" s="219"/>
      <c r="AK136" s="219"/>
      <c r="AL136" s="219"/>
      <c r="AM136" s="219"/>
      <c r="AN136" s="219"/>
      <c r="AO136" s="219"/>
      <c r="AP136" s="219"/>
      <c r="AQ136" s="219"/>
      <c r="AR136" s="219"/>
      <c r="AS136" s="219"/>
      <c r="AT136" s="219"/>
      <c r="AU136" s="219"/>
      <c r="AV136" s="219"/>
      <c r="AW136" s="219"/>
      <c r="AX136" s="219"/>
      <c r="AY136" s="219"/>
      <c r="AZ136" s="219"/>
      <c r="BA136" s="219"/>
      <c r="BB136" s="219"/>
      <c r="BC136" s="219"/>
      <c r="BD136" s="219"/>
      <c r="BE136" s="219"/>
      <c r="BF136" s="219"/>
      <c r="BG136" s="219"/>
    </row>
    <row r="137" spans="2:59" x14ac:dyDescent="0.3">
      <c r="B137" s="219"/>
      <c r="C137" s="219"/>
      <c r="D137" s="219"/>
      <c r="E137" s="219"/>
      <c r="F137" s="219"/>
      <c r="G137" s="219"/>
      <c r="H137" s="219"/>
      <c r="I137" s="219"/>
      <c r="J137" s="227"/>
      <c r="P137" s="219"/>
      <c r="Q137" s="219"/>
      <c r="R137" s="219"/>
      <c r="S137" s="219"/>
      <c r="T137" s="219"/>
      <c r="U137" s="219"/>
      <c r="V137" s="219"/>
      <c r="W137" s="219"/>
      <c r="X137" s="219"/>
      <c r="Y137" s="219"/>
      <c r="Z137" s="219"/>
      <c r="AA137" s="219"/>
      <c r="AB137" s="219"/>
      <c r="AC137" s="219"/>
      <c r="AD137" s="219"/>
      <c r="AE137" s="219"/>
      <c r="AF137" s="219"/>
      <c r="AG137" s="219"/>
      <c r="AH137" s="219"/>
      <c r="AI137" s="219"/>
      <c r="AJ137" s="219"/>
      <c r="AK137" s="219"/>
      <c r="AL137" s="219"/>
      <c r="AM137" s="219"/>
      <c r="AN137" s="219"/>
      <c r="AO137" s="219"/>
      <c r="AP137" s="219"/>
      <c r="AQ137" s="219"/>
      <c r="AR137" s="219"/>
      <c r="AS137" s="219"/>
      <c r="AT137" s="219"/>
      <c r="AU137" s="219"/>
      <c r="AV137" s="219"/>
      <c r="AW137" s="219"/>
      <c r="AX137" s="219"/>
      <c r="AY137" s="219"/>
      <c r="AZ137" s="219"/>
      <c r="BA137" s="219"/>
      <c r="BB137" s="219"/>
      <c r="BC137" s="219"/>
      <c r="BD137" s="219"/>
      <c r="BE137" s="219"/>
      <c r="BF137" s="219"/>
      <c r="BG137" s="219"/>
    </row>
    <row r="138" spans="2:59" x14ac:dyDescent="0.3">
      <c r="B138" s="219"/>
      <c r="C138" s="219"/>
      <c r="D138" s="219"/>
      <c r="E138" s="219"/>
      <c r="F138" s="219"/>
      <c r="G138" s="219"/>
      <c r="H138" s="219"/>
      <c r="I138" s="219"/>
      <c r="J138" s="227"/>
      <c r="P138" s="219"/>
      <c r="Q138" s="219"/>
      <c r="R138" s="219"/>
      <c r="S138" s="219"/>
      <c r="T138" s="219"/>
      <c r="U138" s="219"/>
      <c r="V138" s="219"/>
      <c r="W138" s="219"/>
      <c r="X138" s="219"/>
      <c r="Y138" s="219"/>
      <c r="Z138" s="219"/>
      <c r="AA138" s="219"/>
      <c r="AB138" s="219"/>
      <c r="AC138" s="219"/>
      <c r="AD138" s="219"/>
      <c r="AE138" s="219"/>
      <c r="AF138" s="219"/>
      <c r="AG138" s="219"/>
      <c r="AH138" s="219"/>
      <c r="AI138" s="219"/>
      <c r="AJ138" s="219"/>
      <c r="AK138" s="219"/>
      <c r="AL138" s="219"/>
      <c r="AM138" s="219"/>
      <c r="AN138" s="219"/>
      <c r="AO138" s="219"/>
      <c r="AP138" s="219"/>
      <c r="AQ138" s="219"/>
      <c r="AR138" s="219"/>
      <c r="AS138" s="219"/>
      <c r="AT138" s="219"/>
      <c r="AU138" s="219"/>
      <c r="AV138" s="219"/>
      <c r="AW138" s="219"/>
      <c r="AX138" s="219"/>
      <c r="AY138" s="219"/>
      <c r="AZ138" s="219"/>
      <c r="BA138" s="219"/>
      <c r="BB138" s="219"/>
      <c r="BC138" s="219"/>
      <c r="BD138" s="219"/>
      <c r="BE138" s="219"/>
      <c r="BF138" s="219"/>
      <c r="BG138" s="219"/>
    </row>
    <row r="139" spans="2:59" x14ac:dyDescent="0.3">
      <c r="B139" s="219"/>
      <c r="C139" s="219"/>
      <c r="D139" s="219"/>
      <c r="E139" s="219"/>
      <c r="F139" s="219"/>
      <c r="G139" s="219"/>
      <c r="H139" s="219"/>
      <c r="I139" s="219"/>
      <c r="J139" s="227"/>
      <c r="P139" s="219"/>
      <c r="Q139" s="219"/>
      <c r="R139" s="219"/>
      <c r="S139" s="219"/>
      <c r="T139" s="219"/>
      <c r="U139" s="219"/>
      <c r="V139" s="219"/>
      <c r="W139" s="219"/>
      <c r="X139" s="219"/>
      <c r="Y139" s="219"/>
      <c r="Z139" s="219"/>
      <c r="AA139" s="219"/>
      <c r="AB139" s="219"/>
      <c r="AC139" s="219"/>
      <c r="AD139" s="219"/>
      <c r="AE139" s="219"/>
      <c r="AF139" s="219"/>
      <c r="AG139" s="219"/>
      <c r="AH139" s="219"/>
      <c r="AI139" s="219"/>
      <c r="AJ139" s="219"/>
      <c r="AK139" s="219"/>
      <c r="AL139" s="219"/>
      <c r="AM139" s="219"/>
      <c r="AN139" s="219"/>
      <c r="AO139" s="219"/>
      <c r="AP139" s="219"/>
      <c r="AQ139" s="219"/>
      <c r="AR139" s="219"/>
      <c r="AS139" s="219"/>
      <c r="AT139" s="219"/>
      <c r="AU139" s="219"/>
      <c r="AV139" s="219"/>
      <c r="AW139" s="219"/>
      <c r="AX139" s="219"/>
      <c r="AY139" s="219"/>
      <c r="AZ139" s="219"/>
      <c r="BA139" s="219"/>
      <c r="BB139" s="219"/>
      <c r="BC139" s="219"/>
      <c r="BD139" s="219"/>
      <c r="BE139" s="219"/>
      <c r="BF139" s="219"/>
      <c r="BG139" s="219"/>
    </row>
    <row r="140" spans="2:59" x14ac:dyDescent="0.3">
      <c r="B140" s="219"/>
      <c r="C140" s="219"/>
      <c r="D140" s="219"/>
      <c r="E140" s="219"/>
      <c r="F140" s="219"/>
      <c r="G140" s="219"/>
      <c r="H140" s="219"/>
      <c r="I140" s="219"/>
      <c r="J140" s="227"/>
    </row>
    <row r="141" spans="2:59" x14ac:dyDescent="0.3">
      <c r="B141" s="219"/>
      <c r="C141" s="219"/>
      <c r="D141" s="219"/>
      <c r="E141" s="219"/>
      <c r="F141" s="219"/>
      <c r="G141" s="219"/>
      <c r="H141" s="219"/>
      <c r="I141" s="219"/>
      <c r="J141" s="227"/>
    </row>
  </sheetData>
  <mergeCells count="20">
    <mergeCell ref="B21:I21"/>
    <mergeCell ref="B16:C17"/>
    <mergeCell ref="H16:I17"/>
    <mergeCell ref="D16:G17"/>
    <mergeCell ref="B18:I18"/>
    <mergeCell ref="B19:C20"/>
    <mergeCell ref="D19:G20"/>
    <mergeCell ref="H19:I20"/>
    <mergeCell ref="B11:C12"/>
    <mergeCell ref="H11:I12"/>
    <mergeCell ref="D6:G7"/>
    <mergeCell ref="D11:G12"/>
    <mergeCell ref="B13:I15"/>
    <mergeCell ref="A1:A3"/>
    <mergeCell ref="B1:I1"/>
    <mergeCell ref="B2:I2"/>
    <mergeCell ref="B3:I3"/>
    <mergeCell ref="B8:I10"/>
    <mergeCell ref="B6:C7"/>
    <mergeCell ref="H6:I7"/>
  </mergeCells>
  <printOptions horizontalCentered="1" verticalCentered="1"/>
  <pageMargins left="0.7" right="0.7" top="0.75" bottom="0.75" header="0.3" footer="0.3"/>
  <pageSetup scale="82"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fitToPage="1"/>
  </sheetPr>
  <dimension ref="A1:AS170"/>
  <sheetViews>
    <sheetView showGridLines="0" showZeros="0" showOutlineSymbols="0" zoomScale="90" zoomScaleNormal="90" zoomScaleSheetLayoutView="100" zoomScalePageLayoutView="60" workbookViewId="0">
      <selection sqref="A1:B4"/>
    </sheetView>
  </sheetViews>
  <sheetFormatPr baseColWidth="10" defaultColWidth="11.44140625" defaultRowHeight="13.2" x14ac:dyDescent="0.25"/>
  <cols>
    <col min="1" max="1" width="20.88671875" style="24" customWidth="1"/>
    <col min="2" max="4" width="11.44140625" style="24"/>
    <col min="5" max="16384" width="11.44140625" style="23"/>
  </cols>
  <sheetData>
    <row r="1" spans="1:45" s="216" customFormat="1" ht="19.2" customHeight="1" thickBot="1" x14ac:dyDescent="0.35">
      <c r="A1" s="369"/>
      <c r="B1" s="369"/>
      <c r="C1" s="370" t="s">
        <v>277</v>
      </c>
      <c r="D1" s="370"/>
      <c r="E1" s="370"/>
      <c r="F1" s="370"/>
      <c r="G1" s="370"/>
      <c r="H1" s="370"/>
      <c r="I1" s="370"/>
      <c r="J1" s="370"/>
      <c r="K1" s="370"/>
      <c r="L1" s="370"/>
      <c r="M1" s="370"/>
      <c r="N1" s="387" t="s">
        <v>340</v>
      </c>
      <c r="O1" s="387"/>
      <c r="P1" s="215"/>
    </row>
    <row r="2" spans="1:45" s="216" customFormat="1" ht="19.2" customHeight="1" thickBot="1" x14ac:dyDescent="0.35">
      <c r="A2" s="369"/>
      <c r="B2" s="369"/>
      <c r="C2" s="426" t="s">
        <v>177</v>
      </c>
      <c r="D2" s="427"/>
      <c r="E2" s="427"/>
      <c r="F2" s="427"/>
      <c r="G2" s="427"/>
      <c r="H2" s="427"/>
      <c r="I2" s="427"/>
      <c r="J2" s="427"/>
      <c r="K2" s="427"/>
      <c r="L2" s="427"/>
      <c r="M2" s="428"/>
      <c r="N2" s="388" t="s">
        <v>179</v>
      </c>
      <c r="O2" s="388"/>
      <c r="P2" s="215"/>
    </row>
    <row r="3" spans="1:45" s="216" customFormat="1" ht="19.2" customHeight="1" thickBot="1" x14ac:dyDescent="0.35">
      <c r="A3" s="369"/>
      <c r="B3" s="369"/>
      <c r="C3" s="429"/>
      <c r="D3" s="430"/>
      <c r="E3" s="430"/>
      <c r="F3" s="430"/>
      <c r="G3" s="430"/>
      <c r="H3" s="430"/>
      <c r="I3" s="430"/>
      <c r="J3" s="430"/>
      <c r="K3" s="430"/>
      <c r="L3" s="430"/>
      <c r="M3" s="431"/>
      <c r="N3" s="388"/>
      <c r="O3" s="388"/>
      <c r="P3" s="215"/>
    </row>
    <row r="4" spans="1:45" s="216" customFormat="1" ht="19.2" customHeight="1" thickBot="1" x14ac:dyDescent="0.35">
      <c r="A4" s="369"/>
      <c r="B4" s="369"/>
      <c r="C4" s="415" t="s">
        <v>137</v>
      </c>
      <c r="D4" s="416"/>
      <c r="E4" s="416"/>
      <c r="F4" s="416"/>
      <c r="G4" s="416"/>
      <c r="H4" s="416"/>
      <c r="I4" s="416"/>
      <c r="J4" s="416"/>
      <c r="K4" s="416"/>
      <c r="L4" s="416"/>
      <c r="M4" s="417"/>
      <c r="N4" s="389">
        <v>44279</v>
      </c>
      <c r="O4" s="389"/>
      <c r="P4" s="215"/>
    </row>
    <row r="5" spans="1:45" s="216" customFormat="1" ht="19.2" customHeight="1" x14ac:dyDescent="0.3">
      <c r="A5" s="210"/>
      <c r="B5" s="234"/>
      <c r="C5" s="234"/>
      <c r="D5" s="234"/>
      <c r="E5" s="234"/>
      <c r="F5" s="234"/>
      <c r="G5" s="234"/>
      <c r="H5" s="234"/>
      <c r="I5" s="234"/>
      <c r="J5" s="235"/>
      <c r="L5" s="230"/>
      <c r="M5" s="215"/>
      <c r="N5" s="215"/>
      <c r="O5" s="215"/>
      <c r="P5" s="215"/>
    </row>
    <row r="6" spans="1:45" ht="30" customHeight="1" x14ac:dyDescent="0.25">
      <c r="A6" s="21"/>
      <c r="B6" s="432" t="s">
        <v>441</v>
      </c>
      <c r="C6" s="432"/>
      <c r="D6" s="432"/>
      <c r="E6" s="432"/>
      <c r="F6" s="432"/>
      <c r="G6" s="432"/>
      <c r="H6" s="432"/>
      <c r="I6" s="432"/>
      <c r="J6" s="432"/>
      <c r="K6" s="432"/>
      <c r="L6" s="432"/>
      <c r="M6" s="432"/>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2"/>
      <c r="AR6" s="22"/>
    </row>
    <row r="7" spans="1:45" ht="37.5" customHeight="1" x14ac:dyDescent="0.25">
      <c r="A7" s="21"/>
      <c r="B7" s="433" t="s">
        <v>263</v>
      </c>
      <c r="C7" s="433"/>
      <c r="D7" s="433"/>
      <c r="E7" s="433"/>
      <c r="F7" s="433"/>
      <c r="G7" s="433"/>
      <c r="H7" s="433"/>
      <c r="I7" s="433"/>
      <c r="J7" s="433"/>
      <c r="K7" s="433"/>
      <c r="L7" s="433"/>
      <c r="M7" s="433"/>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2"/>
      <c r="AR7" s="22"/>
    </row>
    <row r="8" spans="1:45" ht="30" customHeight="1" x14ac:dyDescent="0.25">
      <c r="A8" s="21"/>
      <c r="B8" s="418"/>
      <c r="C8" s="418"/>
      <c r="D8" s="418"/>
      <c r="E8" s="418"/>
      <c r="F8" s="418"/>
      <c r="G8" s="418"/>
      <c r="H8" s="418"/>
      <c r="I8" s="418"/>
      <c r="J8" s="418"/>
      <c r="K8" s="418"/>
      <c r="L8" s="418"/>
      <c r="M8" s="418"/>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2"/>
      <c r="AR8" s="22"/>
    </row>
    <row r="9" spans="1:45" ht="30" customHeight="1" x14ac:dyDescent="0.25">
      <c r="A9" s="21"/>
      <c r="B9" s="418"/>
      <c r="C9" s="418"/>
      <c r="D9" s="418"/>
      <c r="E9" s="418"/>
      <c r="F9" s="418"/>
      <c r="G9" s="418"/>
      <c r="H9" s="418"/>
      <c r="I9" s="418"/>
      <c r="J9" s="418"/>
      <c r="K9" s="418"/>
      <c r="L9" s="418"/>
      <c r="M9" s="418"/>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2"/>
      <c r="AR9" s="22"/>
    </row>
    <row r="10" spans="1:45" ht="30" customHeight="1" x14ac:dyDescent="0.25">
      <c r="A10" s="21"/>
      <c r="B10" s="432" t="s">
        <v>182</v>
      </c>
      <c r="C10" s="432"/>
      <c r="D10" s="432"/>
      <c r="E10" s="432"/>
      <c r="F10" s="432"/>
      <c r="G10" s="432"/>
      <c r="H10" s="432"/>
      <c r="I10" s="432"/>
      <c r="J10" s="432"/>
      <c r="K10" s="432"/>
      <c r="L10" s="432"/>
      <c r="M10" s="432"/>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2"/>
      <c r="AR10" s="22"/>
      <c r="AS10" s="22"/>
    </row>
    <row r="11" spans="1:45" ht="27" customHeight="1" x14ac:dyDescent="0.25">
      <c r="A11" s="21"/>
      <c r="B11" s="434" t="s">
        <v>327</v>
      </c>
      <c r="C11" s="434"/>
      <c r="D11" s="434"/>
      <c r="E11" s="434"/>
      <c r="F11" s="434"/>
      <c r="G11" s="434"/>
      <c r="H11" s="434"/>
      <c r="I11" s="434"/>
      <c r="J11" s="434"/>
      <c r="K11" s="434"/>
      <c r="L11" s="434"/>
      <c r="M11" s="434"/>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2"/>
      <c r="AR11" s="22"/>
      <c r="AS11" s="22"/>
    </row>
    <row r="12" spans="1:45" ht="27" customHeight="1" x14ac:dyDescent="0.25">
      <c r="A12" s="21"/>
      <c r="B12" s="435"/>
      <c r="C12" s="435"/>
      <c r="D12" s="435"/>
      <c r="E12" s="435"/>
      <c r="F12" s="435"/>
      <c r="G12" s="435"/>
      <c r="H12" s="435"/>
      <c r="I12" s="435"/>
      <c r="J12" s="435"/>
      <c r="K12" s="435"/>
      <c r="L12" s="435"/>
      <c r="M12" s="435"/>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2"/>
      <c r="AR12" s="22"/>
      <c r="AS12" s="22"/>
    </row>
    <row r="13" spans="1:45" ht="27" customHeight="1" x14ac:dyDescent="0.25">
      <c r="A13" s="21"/>
      <c r="B13" s="435"/>
      <c r="C13" s="435"/>
      <c r="D13" s="435"/>
      <c r="E13" s="435"/>
      <c r="F13" s="435"/>
      <c r="G13" s="435"/>
      <c r="H13" s="435"/>
      <c r="I13" s="435"/>
      <c r="J13" s="435"/>
      <c r="K13" s="435"/>
      <c r="L13" s="435"/>
      <c r="M13" s="435"/>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2"/>
      <c r="AR13" s="22"/>
      <c r="AS13" s="22"/>
    </row>
    <row r="14" spans="1:45" ht="27" customHeight="1" x14ac:dyDescent="0.25">
      <c r="A14" s="21"/>
      <c r="B14" s="435"/>
      <c r="C14" s="435"/>
      <c r="D14" s="435"/>
      <c r="E14" s="435"/>
      <c r="F14" s="435"/>
      <c r="G14" s="435"/>
      <c r="H14" s="435"/>
      <c r="I14" s="435"/>
      <c r="J14" s="435"/>
      <c r="K14" s="435"/>
      <c r="L14" s="435"/>
      <c r="M14" s="435"/>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2"/>
      <c r="AR14" s="22"/>
      <c r="AS14" s="22"/>
    </row>
    <row r="15" spans="1:45" ht="30" customHeight="1" x14ac:dyDescent="0.25">
      <c r="A15" s="21"/>
      <c r="B15" s="435"/>
      <c r="C15" s="435"/>
      <c r="D15" s="435"/>
      <c r="E15" s="435"/>
      <c r="F15" s="435"/>
      <c r="G15" s="435"/>
      <c r="H15" s="435"/>
      <c r="I15" s="435"/>
      <c r="J15" s="435"/>
      <c r="K15" s="435"/>
      <c r="L15" s="435"/>
      <c r="M15" s="435"/>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2"/>
      <c r="AR15" s="22"/>
      <c r="AS15" s="22"/>
    </row>
    <row r="16" spans="1:45" ht="39" customHeight="1" x14ac:dyDescent="0.25">
      <c r="A16" s="21"/>
      <c r="B16" s="435"/>
      <c r="C16" s="435"/>
      <c r="D16" s="435"/>
      <c r="E16" s="435"/>
      <c r="F16" s="435"/>
      <c r="G16" s="435"/>
      <c r="H16" s="435"/>
      <c r="I16" s="435"/>
      <c r="J16" s="435"/>
      <c r="K16" s="435"/>
      <c r="L16" s="435"/>
      <c r="M16" s="435"/>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2"/>
      <c r="AR16" s="22"/>
      <c r="AS16" s="22"/>
    </row>
    <row r="17" spans="1:45" ht="13.8"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2"/>
      <c r="AS17" s="22"/>
    </row>
    <row r="18" spans="1:45" ht="13.8"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2"/>
      <c r="AS18" s="22"/>
    </row>
    <row r="19" spans="1:45" ht="13.8"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2"/>
      <c r="AS19" s="22"/>
    </row>
    <row r="20" spans="1:45" ht="13.8"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2"/>
      <c r="AS20" s="22"/>
    </row>
    <row r="21" spans="1:45" ht="13.8"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2"/>
      <c r="AS21" s="22"/>
    </row>
    <row r="22" spans="1:45" ht="13.8"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2"/>
      <c r="AS22" s="22"/>
    </row>
    <row r="23" spans="1:45" ht="13.8"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2"/>
      <c r="AS23" s="22"/>
    </row>
    <row r="24" spans="1:45" ht="13.8"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2"/>
      <c r="AS24" s="22"/>
    </row>
    <row r="25" spans="1:45" ht="13.8"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2"/>
      <c r="AS25" s="22"/>
    </row>
    <row r="26" spans="1:45" ht="13.8"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2"/>
      <c r="AS26" s="22"/>
    </row>
    <row r="27" spans="1:45" ht="13.8"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2"/>
      <c r="AS27" s="22"/>
    </row>
    <row r="28" spans="1:45" ht="13.8"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2"/>
      <c r="AS28" s="22"/>
    </row>
    <row r="29" spans="1:45" ht="13.8"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2"/>
      <c r="AS29" s="22"/>
    </row>
    <row r="30" spans="1:45" ht="13.8"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2"/>
      <c r="AS30" s="22"/>
    </row>
    <row r="31" spans="1:45" ht="13.8"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2"/>
      <c r="AR31" s="22"/>
      <c r="AS31" s="22"/>
    </row>
    <row r="32" spans="1:45" ht="13.8"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2"/>
      <c r="AR32" s="22"/>
      <c r="AS32" s="22"/>
    </row>
    <row r="33" spans="1:45" ht="13.8"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2"/>
      <c r="AR33" s="22"/>
      <c r="AS33" s="22"/>
    </row>
    <row r="34" spans="1:45" ht="13.8"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2"/>
      <c r="AR34" s="22"/>
      <c r="AS34" s="22"/>
    </row>
    <row r="35" spans="1:45" ht="13.8"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2"/>
      <c r="AR35" s="22"/>
      <c r="AS35" s="22"/>
    </row>
    <row r="36" spans="1:45" ht="13.8"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2"/>
      <c r="AR36" s="22"/>
      <c r="AS36" s="22"/>
    </row>
    <row r="37" spans="1:45" ht="13.8"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2"/>
      <c r="AR37" s="22"/>
      <c r="AS37" s="22"/>
    </row>
    <row r="38" spans="1:45" ht="13.8"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2"/>
      <c r="AR38" s="22"/>
      <c r="AS38" s="22"/>
    </row>
    <row r="39" spans="1:45" ht="13.8"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2"/>
      <c r="AR39" s="22"/>
      <c r="AS39" s="22"/>
    </row>
    <row r="40" spans="1:45" ht="13.8"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2"/>
      <c r="AR40" s="22"/>
      <c r="AS40" s="22"/>
    </row>
    <row r="41" spans="1:45" ht="13.8"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2"/>
      <c r="AR41" s="22"/>
      <c r="AS41" s="22"/>
    </row>
    <row r="42" spans="1:45" ht="13.8"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2"/>
      <c r="AR42" s="22"/>
      <c r="AS42" s="22"/>
    </row>
    <row r="43" spans="1:45" ht="13.8"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2"/>
      <c r="AR43" s="22"/>
      <c r="AS43" s="22"/>
    </row>
    <row r="44" spans="1:45" ht="13.8"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2"/>
      <c r="AR44" s="22"/>
      <c r="AS44" s="22"/>
    </row>
    <row r="45" spans="1:45" ht="13.8"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2"/>
      <c r="AR45" s="22"/>
      <c r="AS45" s="22"/>
    </row>
    <row r="46" spans="1:45" ht="13.8"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2"/>
      <c r="AR46" s="22"/>
      <c r="AS46" s="22"/>
    </row>
    <row r="47" spans="1:45" ht="13.8"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2"/>
      <c r="AR47" s="22"/>
      <c r="AS47" s="22"/>
    </row>
    <row r="48" spans="1:45" ht="13.8"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2"/>
      <c r="AR48" s="22"/>
      <c r="AS48" s="22"/>
    </row>
    <row r="49" spans="1:45" ht="13.8"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2"/>
      <c r="AR49" s="22"/>
      <c r="AS49" s="22"/>
    </row>
    <row r="50" spans="1:45" ht="13.8"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2"/>
      <c r="AR50" s="22"/>
      <c r="AS50" s="22"/>
    </row>
    <row r="51" spans="1:45" ht="13.8"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2"/>
      <c r="AR51" s="22"/>
      <c r="AS51" s="22"/>
    </row>
    <row r="52" spans="1:45" ht="13.8"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2"/>
      <c r="AR52" s="22"/>
      <c r="AS52" s="22"/>
    </row>
    <row r="53" spans="1:45" ht="13.8"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2"/>
      <c r="AR53" s="22"/>
      <c r="AS53" s="22"/>
    </row>
    <row r="54" spans="1:45" ht="13.8"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2"/>
      <c r="AR54" s="22"/>
      <c r="AS54" s="22"/>
    </row>
    <row r="55" spans="1:45" ht="13.8"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2"/>
      <c r="AR55" s="22"/>
      <c r="AS55" s="22"/>
    </row>
    <row r="56" spans="1:45" ht="13.8"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2"/>
      <c r="AR56" s="22"/>
      <c r="AS56" s="22"/>
    </row>
    <row r="57" spans="1:45" ht="13.8"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2"/>
      <c r="AR57" s="22"/>
      <c r="AS57" s="22"/>
    </row>
    <row r="58" spans="1:45" ht="13.8"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2"/>
      <c r="AR58" s="22"/>
      <c r="AS58" s="22"/>
    </row>
    <row r="59" spans="1:45" ht="13.8"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2"/>
      <c r="AR59" s="22"/>
      <c r="AS59" s="22"/>
    </row>
    <row r="60" spans="1:45" ht="13.8"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2"/>
      <c r="AR60" s="22"/>
      <c r="AS60" s="22"/>
    </row>
    <row r="61" spans="1:45" ht="13.8"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2"/>
      <c r="AR61" s="22"/>
      <c r="AS61" s="22"/>
    </row>
    <row r="62" spans="1:45" ht="13.8"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2"/>
      <c r="AR62" s="22"/>
      <c r="AS62" s="22"/>
    </row>
    <row r="63" spans="1:45" ht="13.8"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2"/>
      <c r="AR63" s="22"/>
      <c r="AS63" s="22"/>
    </row>
    <row r="64" spans="1:45" ht="13.8"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2"/>
      <c r="AR64" s="22"/>
      <c r="AS64" s="22"/>
    </row>
    <row r="65" spans="1:45" ht="13.8"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2"/>
      <c r="AR65" s="22"/>
      <c r="AS65" s="22"/>
    </row>
    <row r="66" spans="1:45" ht="13.8"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2"/>
      <c r="AR66" s="22"/>
      <c r="AS66" s="22"/>
    </row>
    <row r="67" spans="1:45" ht="13.8"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2"/>
      <c r="AR67" s="22"/>
      <c r="AS67" s="22"/>
    </row>
    <row r="68" spans="1:45" ht="13.8"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2"/>
      <c r="AR68" s="22"/>
      <c r="AS68" s="22"/>
    </row>
    <row r="69" spans="1:45" ht="13.8"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2"/>
      <c r="AR69" s="22"/>
      <c r="AS69" s="22"/>
    </row>
    <row r="70" spans="1:45" ht="13.8"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2"/>
      <c r="AR70" s="22"/>
      <c r="AS70" s="22"/>
    </row>
    <row r="71" spans="1:45" ht="13.8"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2"/>
      <c r="AR71" s="22"/>
      <c r="AS71" s="22"/>
    </row>
    <row r="72" spans="1:45" ht="13.8"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2"/>
      <c r="AR72" s="22"/>
      <c r="AS72" s="22"/>
    </row>
    <row r="73" spans="1:45" ht="13.8"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2"/>
      <c r="AR73" s="22"/>
      <c r="AS73" s="22"/>
    </row>
    <row r="74" spans="1:45" ht="13.8"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2"/>
      <c r="AR74" s="22"/>
      <c r="AS74" s="22"/>
    </row>
    <row r="75" spans="1:45" ht="13.8"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2"/>
      <c r="AR75" s="22"/>
      <c r="AS75" s="22"/>
    </row>
    <row r="76" spans="1:45" ht="13.8"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2"/>
      <c r="AR76" s="22"/>
      <c r="AS76" s="22"/>
    </row>
    <row r="77" spans="1:45" ht="13.8"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2"/>
      <c r="AR77" s="22"/>
      <c r="AS77" s="22"/>
    </row>
    <row r="78" spans="1:45" ht="13.8"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2"/>
      <c r="AR78" s="22"/>
      <c r="AS78" s="22"/>
    </row>
    <row r="79" spans="1:45" ht="13.8"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2"/>
      <c r="AR79" s="22"/>
      <c r="AS79" s="22"/>
    </row>
    <row r="80" spans="1:45" ht="13.8"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2"/>
      <c r="AR80" s="22"/>
      <c r="AS80" s="22"/>
    </row>
    <row r="81" spans="1:45" ht="13.8"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2"/>
      <c r="AR81" s="22"/>
      <c r="AS81" s="22"/>
    </row>
    <row r="82" spans="1:45" ht="13.8"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2"/>
      <c r="AR82" s="22"/>
      <c r="AS82" s="22"/>
    </row>
    <row r="83" spans="1:45" ht="13.8"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2"/>
      <c r="AR83" s="22"/>
      <c r="AS83" s="22"/>
    </row>
    <row r="84" spans="1:45" ht="13.8"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2"/>
      <c r="AR84" s="22"/>
      <c r="AS84" s="22"/>
    </row>
    <row r="85" spans="1:45" ht="13.8"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2"/>
      <c r="AR85" s="22"/>
      <c r="AS85" s="22"/>
    </row>
    <row r="86" spans="1:45" ht="13.8"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2"/>
      <c r="AR86" s="22"/>
      <c r="AS86" s="22"/>
    </row>
    <row r="87" spans="1:45" ht="13.8"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2"/>
      <c r="AR87" s="22"/>
      <c r="AS87" s="22"/>
    </row>
    <row r="88" spans="1:45" ht="13.8"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2"/>
      <c r="AR88" s="22"/>
      <c r="AS88" s="22"/>
    </row>
    <row r="89" spans="1:45" ht="13.8"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2"/>
      <c r="AR89" s="22"/>
      <c r="AS89" s="22"/>
    </row>
    <row r="90" spans="1:45" ht="13.8"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2"/>
      <c r="AR90" s="22"/>
      <c r="AS90" s="22"/>
    </row>
    <row r="91" spans="1:45" ht="13.8"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2"/>
      <c r="AR91" s="22"/>
      <c r="AS91" s="22"/>
    </row>
    <row r="92" spans="1:45" ht="13.8"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2"/>
      <c r="AR92" s="22"/>
      <c r="AS92" s="22"/>
    </row>
    <row r="93" spans="1:45" ht="13.8"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2"/>
      <c r="AR93" s="22"/>
      <c r="AS93" s="22"/>
    </row>
    <row r="94" spans="1:45" ht="13.8"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2"/>
      <c r="AR94" s="22"/>
      <c r="AS94" s="22"/>
    </row>
    <row r="95" spans="1:45" ht="13.8"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2"/>
      <c r="AR95" s="22"/>
      <c r="AS95" s="22"/>
    </row>
    <row r="96" spans="1:45" ht="13.8"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2"/>
      <c r="AR96" s="22"/>
      <c r="AS96" s="22"/>
    </row>
    <row r="97" spans="1:45" ht="13.8"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2"/>
      <c r="AR97" s="22"/>
      <c r="AS97" s="22"/>
    </row>
    <row r="98" spans="1:45" ht="13.8"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2"/>
      <c r="AR98" s="22"/>
      <c r="AS98" s="22"/>
    </row>
    <row r="99" spans="1:45" ht="13.8"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2"/>
      <c r="AR99" s="22"/>
      <c r="AS99" s="22"/>
    </row>
    <row r="100" spans="1:45" ht="13.8"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2"/>
      <c r="AR100" s="22"/>
      <c r="AS100" s="22"/>
    </row>
    <row r="101" spans="1:45" ht="13.8"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2"/>
      <c r="AR101" s="22"/>
      <c r="AS101" s="22"/>
    </row>
    <row r="102" spans="1:45" ht="13.8"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2"/>
      <c r="AR102" s="22"/>
      <c r="AS102" s="22"/>
    </row>
    <row r="103" spans="1:45" ht="13.8"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2"/>
      <c r="AR103" s="22"/>
      <c r="AS103" s="22"/>
    </row>
    <row r="104" spans="1:45" ht="13.8"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2"/>
      <c r="AR104" s="22"/>
      <c r="AS104" s="22"/>
    </row>
    <row r="105" spans="1:45" ht="13.8"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2"/>
      <c r="AR105" s="22"/>
      <c r="AS105" s="22"/>
    </row>
    <row r="106" spans="1:45" ht="13.8"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2"/>
      <c r="AR106" s="22"/>
      <c r="AS106" s="22"/>
    </row>
    <row r="107" spans="1:45" ht="13.8"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2"/>
      <c r="AR107" s="22"/>
      <c r="AS107" s="22"/>
    </row>
    <row r="108" spans="1:45" ht="13.8"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2"/>
      <c r="AR108" s="22"/>
      <c r="AS108" s="22"/>
    </row>
    <row r="109" spans="1:45" ht="13.8"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2"/>
      <c r="AR109" s="22"/>
      <c r="AS109" s="22"/>
    </row>
    <row r="110" spans="1:45" ht="13.8"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2"/>
      <c r="AR110" s="22"/>
      <c r="AS110" s="22"/>
    </row>
    <row r="111" spans="1:45" ht="13.8"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2"/>
      <c r="AR111" s="22"/>
      <c r="AS111" s="22"/>
    </row>
    <row r="112" spans="1:45" ht="13.8"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2"/>
      <c r="AR112" s="22"/>
      <c r="AS112" s="22"/>
    </row>
    <row r="113" spans="1:45" ht="13.8"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2"/>
      <c r="AR113" s="22"/>
      <c r="AS113" s="22"/>
    </row>
    <row r="114" spans="1:45" ht="13.8"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2"/>
      <c r="AR114" s="22"/>
      <c r="AS114" s="22"/>
    </row>
    <row r="115" spans="1:45" ht="13.8"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2"/>
      <c r="AR115" s="22"/>
      <c r="AS115" s="22"/>
    </row>
    <row r="116" spans="1:45" ht="13.8"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2"/>
      <c r="AR116" s="22"/>
      <c r="AS116" s="22"/>
    </row>
    <row r="117" spans="1:45" ht="13.8"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2"/>
      <c r="AR117" s="22"/>
      <c r="AS117" s="22"/>
    </row>
    <row r="118" spans="1:45" ht="13.8"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2"/>
      <c r="AR118" s="22"/>
      <c r="AS118" s="22"/>
    </row>
    <row r="119" spans="1:45" ht="13.8"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2"/>
      <c r="AR119" s="22"/>
      <c r="AS119" s="22"/>
    </row>
    <row r="120" spans="1:45" ht="13.8"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2"/>
      <c r="AR120" s="22"/>
      <c r="AS120" s="22"/>
    </row>
    <row r="121" spans="1:45" ht="13.8"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2"/>
      <c r="AR121" s="22"/>
      <c r="AS121" s="22"/>
    </row>
    <row r="122" spans="1:45" ht="13.8"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2"/>
      <c r="AR122" s="22"/>
      <c r="AS122" s="22"/>
    </row>
    <row r="123" spans="1:45" ht="13.8"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2"/>
      <c r="AR123" s="22"/>
      <c r="AS123" s="22"/>
    </row>
    <row r="124" spans="1:45" ht="13.8"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2"/>
      <c r="AR124" s="22"/>
      <c r="AS124" s="22"/>
    </row>
    <row r="125" spans="1:45" ht="13.8"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2"/>
      <c r="AR125" s="22"/>
      <c r="AS125" s="22"/>
    </row>
    <row r="126" spans="1:45" ht="13.8"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2"/>
      <c r="AR126" s="22"/>
      <c r="AS126" s="22"/>
    </row>
    <row r="127" spans="1:45" ht="13.8"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2"/>
      <c r="AR127" s="22"/>
      <c r="AS127" s="22"/>
    </row>
    <row r="128" spans="1:45" ht="13.8"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2"/>
      <c r="AR128" s="22"/>
      <c r="AS128" s="22"/>
    </row>
    <row r="129" spans="1:45" ht="13.8"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2"/>
      <c r="AR129" s="22"/>
      <c r="AS129" s="22"/>
    </row>
    <row r="130" spans="1:45" ht="13.8"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2"/>
      <c r="AR130" s="22"/>
      <c r="AS130" s="22"/>
    </row>
    <row r="131" spans="1:45" ht="13.8"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2"/>
      <c r="AR131" s="22"/>
      <c r="AS131" s="22"/>
    </row>
    <row r="132" spans="1:45" ht="13.8"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2"/>
      <c r="AR132" s="22"/>
      <c r="AS132" s="22"/>
    </row>
    <row r="133" spans="1:45" ht="13.8"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2"/>
      <c r="AR133" s="22"/>
      <c r="AS133" s="22"/>
    </row>
    <row r="134" spans="1:45" ht="13.8"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2"/>
      <c r="AR134" s="22"/>
      <c r="AS134" s="22"/>
    </row>
    <row r="135" spans="1:45" ht="13.8"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2"/>
      <c r="AR135" s="22"/>
      <c r="AS135" s="22"/>
    </row>
    <row r="136" spans="1:45" ht="13.8"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2"/>
      <c r="AR136" s="22"/>
      <c r="AS136" s="22"/>
    </row>
    <row r="137" spans="1:45" ht="13.8"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2"/>
      <c r="AR137" s="22"/>
      <c r="AS137" s="22"/>
    </row>
    <row r="138" spans="1:45" ht="13.8"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2"/>
      <c r="AR138" s="22"/>
      <c r="AS138" s="22"/>
    </row>
    <row r="139" spans="1:45" ht="13.8"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2"/>
      <c r="AR139" s="22"/>
      <c r="AS139" s="22"/>
    </row>
    <row r="140" spans="1:45" ht="13.8"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2"/>
      <c r="AR140" s="22"/>
      <c r="AS140" s="22"/>
    </row>
    <row r="141" spans="1:45" ht="13.8"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2"/>
      <c r="AR141" s="22"/>
      <c r="AS141" s="22"/>
    </row>
    <row r="142" spans="1:45" ht="13.8"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2"/>
      <c r="AR142" s="22"/>
      <c r="AS142" s="22"/>
    </row>
    <row r="143" spans="1:45" ht="13.8"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2"/>
      <c r="AR143" s="22"/>
      <c r="AS143" s="22"/>
    </row>
    <row r="144" spans="1:45" ht="13.8"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2"/>
      <c r="AR144" s="22"/>
      <c r="AS144" s="22"/>
    </row>
    <row r="145" spans="1:45" ht="13.8"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2"/>
      <c r="AR145" s="22"/>
      <c r="AS145" s="22"/>
    </row>
    <row r="146" spans="1:45" ht="13.8"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2"/>
      <c r="AR146" s="22"/>
      <c r="AS146" s="22"/>
    </row>
    <row r="147" spans="1:45" ht="13.8"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2"/>
      <c r="AR147" s="22"/>
      <c r="AS147" s="22"/>
    </row>
    <row r="148" spans="1:45" ht="13.8"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2"/>
      <c r="AR148" s="22"/>
      <c r="AS148" s="22"/>
    </row>
    <row r="149" spans="1:45" ht="13.8"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2"/>
      <c r="AR149" s="22"/>
      <c r="AS149" s="22"/>
    </row>
    <row r="150" spans="1:45" ht="13.8"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2"/>
      <c r="AR150" s="22"/>
      <c r="AS150" s="22"/>
    </row>
    <row r="151" spans="1:45" ht="13.8"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2"/>
      <c r="AR151" s="22"/>
      <c r="AS151" s="22"/>
    </row>
    <row r="152" spans="1:45" ht="13.8"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2"/>
      <c r="AR152" s="22"/>
      <c r="AS152" s="22"/>
    </row>
    <row r="153" spans="1:45" ht="13.8"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2"/>
      <c r="AR153" s="22"/>
      <c r="AS153" s="22"/>
    </row>
    <row r="154" spans="1:45" ht="13.8"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2"/>
      <c r="AR154" s="22"/>
      <c r="AS154" s="22"/>
    </row>
    <row r="155" spans="1:45" ht="13.8"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2"/>
      <c r="AR155" s="22"/>
      <c r="AS155" s="22"/>
    </row>
    <row r="156" spans="1:45" ht="13.8"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2"/>
      <c r="AR156" s="22"/>
      <c r="AS156" s="22"/>
    </row>
    <row r="157" spans="1:45" ht="13.8"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2"/>
      <c r="AR157" s="22"/>
      <c r="AS157" s="22"/>
    </row>
    <row r="158" spans="1:45" ht="13.8"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2"/>
      <c r="AR158" s="22"/>
      <c r="AS158" s="22"/>
    </row>
    <row r="159" spans="1:45" ht="13.8"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2"/>
      <c r="AR159" s="22"/>
      <c r="AS159" s="22"/>
    </row>
    <row r="160" spans="1:45" ht="13.8"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2"/>
      <c r="AR160" s="22"/>
      <c r="AS160" s="22"/>
    </row>
    <row r="161" spans="1:45" ht="13.8"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2"/>
      <c r="AR161" s="22"/>
      <c r="AS161" s="22"/>
    </row>
    <row r="162" spans="1:45"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row>
    <row r="163" spans="1:45"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row>
    <row r="164" spans="1:45"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row>
    <row r="165" spans="1:45"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row>
    <row r="166" spans="1:45"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row>
    <row r="167" spans="1:45" x14ac:dyDescent="0.25">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row>
    <row r="168" spans="1:45" x14ac:dyDescent="0.25">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row>
    <row r="169" spans="1:45" x14ac:dyDescent="0.25">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row>
    <row r="170" spans="1:45" x14ac:dyDescent="0.25">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row>
  </sheetData>
  <mergeCells count="11">
    <mergeCell ref="B6:M6"/>
    <mergeCell ref="B10:M10"/>
    <mergeCell ref="B7:M9"/>
    <mergeCell ref="A1:B4"/>
    <mergeCell ref="B11:M16"/>
    <mergeCell ref="N1:O1"/>
    <mergeCell ref="N4:O4"/>
    <mergeCell ref="N2:O3"/>
    <mergeCell ref="C1:M1"/>
    <mergeCell ref="C2:M3"/>
    <mergeCell ref="C4:M4"/>
  </mergeCells>
  <printOptions horizontalCentered="1"/>
  <pageMargins left="0.70866141732283472" right="0.70866141732283472" top="0.74803149606299213" bottom="0.74803149606299213" header="0.31496062992125984" footer="0.31496062992125984"/>
  <pageSetup scale="67" orientation="landscape" r:id="rId1"/>
  <headerFooter alignWithMargins="0"/>
  <colBreaks count="1" manualBreakCount="1">
    <brk id="15"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fitToPage="1"/>
  </sheetPr>
  <dimension ref="A1:AP140"/>
  <sheetViews>
    <sheetView showGridLines="0" showZeros="0" showOutlineSymbols="0" zoomScale="75" zoomScaleNormal="75" zoomScaleSheetLayoutView="75" zoomScalePageLayoutView="60" workbookViewId="0">
      <selection activeCell="E51" sqref="E51"/>
    </sheetView>
  </sheetViews>
  <sheetFormatPr baseColWidth="10" defaultColWidth="11.44140625" defaultRowHeight="13.2" x14ac:dyDescent="0.25"/>
  <cols>
    <col min="1" max="1" width="20.88671875" style="355" customWidth="1"/>
    <col min="2" max="16384" width="11.44140625" style="355"/>
  </cols>
  <sheetData>
    <row r="1" spans="1:42" s="216" customFormat="1" ht="18.75" customHeight="1" thickBot="1" x14ac:dyDescent="0.35">
      <c r="A1" s="369"/>
      <c r="B1" s="369"/>
      <c r="C1" s="373" t="s">
        <v>277</v>
      </c>
      <c r="D1" s="373"/>
      <c r="E1" s="373"/>
      <c r="F1" s="373"/>
      <c r="G1" s="373"/>
      <c r="H1" s="373"/>
      <c r="I1" s="373"/>
      <c r="J1" s="373"/>
      <c r="K1" s="373"/>
      <c r="L1" s="373"/>
      <c r="M1" s="373"/>
      <c r="N1" s="387" t="s">
        <v>340</v>
      </c>
      <c r="O1" s="387"/>
    </row>
    <row r="2" spans="1:42" s="216" customFormat="1" ht="18.75" customHeight="1" thickBot="1" x14ac:dyDescent="0.35">
      <c r="A2" s="369"/>
      <c r="B2" s="369"/>
      <c r="C2" s="426" t="s">
        <v>177</v>
      </c>
      <c r="D2" s="427"/>
      <c r="E2" s="427"/>
      <c r="F2" s="427"/>
      <c r="G2" s="427"/>
      <c r="H2" s="427"/>
      <c r="I2" s="427"/>
      <c r="J2" s="427"/>
      <c r="K2" s="427"/>
      <c r="L2" s="427"/>
      <c r="M2" s="428"/>
      <c r="N2" s="388" t="s">
        <v>179</v>
      </c>
      <c r="O2" s="388"/>
    </row>
    <row r="3" spans="1:42" s="216" customFormat="1" ht="18.75" customHeight="1" thickBot="1" x14ac:dyDescent="0.35">
      <c r="A3" s="369"/>
      <c r="B3" s="369"/>
      <c r="C3" s="429"/>
      <c r="D3" s="430"/>
      <c r="E3" s="430"/>
      <c r="F3" s="430"/>
      <c r="G3" s="430"/>
      <c r="H3" s="430"/>
      <c r="I3" s="430"/>
      <c r="J3" s="430"/>
      <c r="K3" s="430"/>
      <c r="L3" s="430"/>
      <c r="M3" s="431"/>
      <c r="N3" s="388"/>
      <c r="O3" s="388"/>
    </row>
    <row r="4" spans="1:42" s="216" customFormat="1" ht="18.75" customHeight="1" thickBot="1" x14ac:dyDescent="0.35">
      <c r="A4" s="369"/>
      <c r="B4" s="369"/>
      <c r="C4" s="415" t="s">
        <v>137</v>
      </c>
      <c r="D4" s="416"/>
      <c r="E4" s="416"/>
      <c r="F4" s="416"/>
      <c r="G4" s="416"/>
      <c r="H4" s="416"/>
      <c r="I4" s="416"/>
      <c r="J4" s="416"/>
      <c r="K4" s="416"/>
      <c r="L4" s="416"/>
      <c r="M4" s="417"/>
      <c r="N4" s="389">
        <v>44279</v>
      </c>
      <c r="O4" s="389"/>
    </row>
    <row r="5" spans="1:42" s="216" customFormat="1" ht="18.75" customHeight="1" x14ac:dyDescent="0.3">
      <c r="A5" s="351"/>
      <c r="B5" s="352"/>
      <c r="C5" s="352"/>
      <c r="D5" s="352"/>
      <c r="E5" s="352"/>
      <c r="F5" s="352"/>
      <c r="G5" s="352"/>
      <c r="H5" s="352"/>
      <c r="I5" s="352"/>
      <c r="J5" s="353"/>
      <c r="L5" s="354"/>
    </row>
    <row r="6" spans="1:42" ht="30" customHeight="1" x14ac:dyDescent="0.25">
      <c r="A6" s="21"/>
      <c r="B6" s="450" t="s">
        <v>344</v>
      </c>
      <c r="C6" s="450"/>
      <c r="D6" s="450"/>
      <c r="E6" s="450"/>
      <c r="F6" s="450"/>
      <c r="G6" s="450"/>
      <c r="H6" s="450"/>
      <c r="I6" s="450"/>
      <c r="J6" s="450"/>
      <c r="K6" s="450"/>
      <c r="L6" s="450"/>
      <c r="M6" s="450"/>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row>
    <row r="7" spans="1:42" ht="15" customHeight="1" x14ac:dyDescent="0.25">
      <c r="A7" s="21"/>
      <c r="B7" s="451" t="s">
        <v>345</v>
      </c>
      <c r="C7" s="451"/>
      <c r="D7" s="451"/>
      <c r="E7" s="451"/>
      <c r="F7" s="451"/>
      <c r="G7" s="451"/>
      <c r="H7" s="451"/>
      <c r="I7" s="451"/>
      <c r="J7" s="451"/>
      <c r="K7" s="451"/>
      <c r="L7" s="451"/>
      <c r="M7" s="45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row>
    <row r="8" spans="1:42" ht="15" customHeight="1" x14ac:dyDescent="0.25">
      <c r="A8" s="21"/>
      <c r="B8" s="452"/>
      <c r="C8" s="452"/>
      <c r="D8" s="452"/>
      <c r="E8" s="452"/>
      <c r="F8" s="452"/>
      <c r="G8" s="452"/>
      <c r="H8" s="452"/>
      <c r="I8" s="452"/>
      <c r="J8" s="452"/>
      <c r="K8" s="452"/>
      <c r="L8" s="452"/>
      <c r="M8" s="452"/>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row>
    <row r="9" spans="1:42" ht="15" customHeight="1" x14ac:dyDescent="0.25">
      <c r="A9" s="21"/>
      <c r="B9" s="452"/>
      <c r="C9" s="452"/>
      <c r="D9" s="452"/>
      <c r="E9" s="452"/>
      <c r="F9" s="452"/>
      <c r="G9" s="452"/>
      <c r="H9" s="452"/>
      <c r="I9" s="452"/>
      <c r="J9" s="452"/>
      <c r="K9" s="452"/>
      <c r="L9" s="452"/>
      <c r="M9" s="452"/>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row>
    <row r="10" spans="1:42" s="358" customFormat="1" ht="12.75" customHeight="1" x14ac:dyDescent="0.25">
      <c r="A10" s="356"/>
      <c r="B10" s="357"/>
      <c r="C10" s="357"/>
      <c r="D10" s="357"/>
      <c r="E10" s="357"/>
      <c r="F10" s="357"/>
      <c r="G10" s="357"/>
      <c r="H10" s="357"/>
      <c r="I10" s="357"/>
      <c r="J10" s="357"/>
      <c r="K10" s="357"/>
      <c r="L10" s="357"/>
      <c r="M10" s="357"/>
      <c r="N10" s="356"/>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6"/>
    </row>
    <row r="11" spans="1:42" s="358" customFormat="1" ht="30" customHeight="1" x14ac:dyDescent="0.25">
      <c r="A11" s="356"/>
      <c r="B11" s="450" t="s">
        <v>346</v>
      </c>
      <c r="C11" s="450"/>
      <c r="D11" s="450"/>
      <c r="E11" s="450"/>
      <c r="F11" s="450"/>
      <c r="G11" s="450"/>
      <c r="H11" s="450"/>
      <c r="I11" s="450"/>
      <c r="J11" s="450"/>
      <c r="K11" s="450"/>
      <c r="L11" s="450"/>
      <c r="M11" s="450"/>
      <c r="N11" s="356"/>
      <c r="O11" s="356"/>
      <c r="P11" s="356"/>
      <c r="Q11" s="356"/>
      <c r="R11" s="356"/>
      <c r="S11" s="356"/>
      <c r="T11" s="356"/>
      <c r="U11" s="356"/>
      <c r="V11" s="356"/>
      <c r="W11" s="356"/>
      <c r="X11" s="356"/>
      <c r="Y11" s="356"/>
      <c r="Z11" s="356"/>
      <c r="AA11" s="356"/>
      <c r="AB11" s="356"/>
      <c r="AC11" s="356"/>
      <c r="AD11" s="356"/>
      <c r="AE11" s="356"/>
      <c r="AF11" s="356"/>
      <c r="AG11" s="356"/>
      <c r="AH11" s="356"/>
      <c r="AI11" s="356"/>
      <c r="AJ11" s="356"/>
      <c r="AK11" s="356"/>
      <c r="AL11" s="356"/>
      <c r="AM11" s="356"/>
      <c r="AN11" s="356"/>
      <c r="AO11" s="356"/>
      <c r="AP11" s="356"/>
    </row>
    <row r="12" spans="1:42" s="358" customFormat="1" ht="20.100000000000001" customHeight="1" x14ac:dyDescent="0.25">
      <c r="A12" s="356"/>
      <c r="B12" s="453" t="s">
        <v>347</v>
      </c>
      <c r="C12" s="453"/>
      <c r="D12" s="453"/>
      <c r="E12" s="453"/>
      <c r="F12" s="453"/>
      <c r="G12" s="453"/>
      <c r="H12" s="453"/>
      <c r="I12" s="453"/>
      <c r="J12" s="453"/>
      <c r="K12" s="453"/>
      <c r="L12" s="453"/>
      <c r="M12" s="453"/>
      <c r="N12" s="356"/>
      <c r="O12" s="356"/>
      <c r="P12" s="356"/>
      <c r="Q12" s="356"/>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row>
    <row r="13" spans="1:42" s="358" customFormat="1" ht="20.100000000000001" customHeight="1" x14ac:dyDescent="0.25">
      <c r="A13" s="356"/>
      <c r="B13" s="454"/>
      <c r="C13" s="454"/>
      <c r="D13" s="454"/>
      <c r="E13" s="454"/>
      <c r="F13" s="454"/>
      <c r="G13" s="454"/>
      <c r="H13" s="454"/>
      <c r="I13" s="454"/>
      <c r="J13" s="454"/>
      <c r="K13" s="454"/>
      <c r="L13" s="454"/>
      <c r="M13" s="454"/>
      <c r="N13" s="356"/>
      <c r="O13" s="356"/>
      <c r="P13" s="356"/>
      <c r="Q13" s="356"/>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row>
    <row r="14" spans="1:42" s="358" customFormat="1" ht="20.100000000000001" customHeight="1" x14ac:dyDescent="0.25">
      <c r="A14" s="356"/>
      <c r="B14" s="454"/>
      <c r="C14" s="454"/>
      <c r="D14" s="454"/>
      <c r="E14" s="454"/>
      <c r="F14" s="454"/>
      <c r="G14" s="454"/>
      <c r="H14" s="454"/>
      <c r="I14" s="454"/>
      <c r="J14" s="454"/>
      <c r="K14" s="454"/>
      <c r="L14" s="454"/>
      <c r="M14" s="454"/>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row>
    <row r="15" spans="1:42" s="358" customFormat="1" ht="20.100000000000001" customHeight="1" x14ac:dyDescent="0.25">
      <c r="A15" s="356"/>
      <c r="B15" s="455"/>
      <c r="C15" s="455"/>
      <c r="D15" s="455"/>
      <c r="E15" s="455"/>
      <c r="F15" s="455"/>
      <c r="G15" s="455"/>
      <c r="H15" s="455"/>
      <c r="I15" s="455"/>
      <c r="J15" s="455"/>
      <c r="K15" s="455"/>
      <c r="L15" s="455"/>
      <c r="M15" s="455"/>
      <c r="N15" s="356"/>
      <c r="O15" s="356"/>
      <c r="P15" s="356"/>
      <c r="Q15" s="356"/>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row>
    <row r="16" spans="1:42" s="358" customFormat="1" ht="15" customHeight="1" x14ac:dyDescent="0.25">
      <c r="A16" s="359"/>
      <c r="B16" s="453" t="s">
        <v>348</v>
      </c>
      <c r="C16" s="453"/>
      <c r="D16" s="453"/>
      <c r="E16" s="453"/>
      <c r="F16" s="453"/>
      <c r="G16" s="453"/>
      <c r="H16" s="453"/>
      <c r="I16" s="453"/>
      <c r="J16" s="453"/>
      <c r="K16" s="453"/>
      <c r="L16" s="453"/>
      <c r="M16" s="453"/>
      <c r="N16" s="359"/>
      <c r="O16" s="359"/>
      <c r="P16" s="359"/>
      <c r="Q16" s="359"/>
      <c r="R16" s="359"/>
      <c r="S16" s="359"/>
      <c r="T16" s="359"/>
      <c r="U16" s="359"/>
      <c r="V16" s="359"/>
      <c r="W16" s="359"/>
      <c r="X16" s="359"/>
      <c r="Y16" s="359"/>
      <c r="Z16" s="359"/>
      <c r="AA16" s="359"/>
      <c r="AB16" s="359"/>
      <c r="AC16" s="359"/>
      <c r="AD16" s="359"/>
      <c r="AE16" s="359"/>
      <c r="AF16" s="359"/>
      <c r="AG16" s="359"/>
      <c r="AH16" s="359"/>
      <c r="AI16" s="359"/>
      <c r="AJ16" s="359"/>
      <c r="AK16" s="359"/>
      <c r="AL16" s="359"/>
      <c r="AM16" s="359"/>
      <c r="AN16" s="359"/>
      <c r="AO16" s="359"/>
      <c r="AP16" s="359"/>
    </row>
    <row r="17" spans="1:42" s="358" customFormat="1" ht="15" customHeight="1" x14ac:dyDescent="0.25">
      <c r="A17" s="359"/>
      <c r="B17" s="454"/>
      <c r="C17" s="454"/>
      <c r="D17" s="454"/>
      <c r="E17" s="454"/>
      <c r="F17" s="454"/>
      <c r="G17" s="454"/>
      <c r="H17" s="454"/>
      <c r="I17" s="454"/>
      <c r="J17" s="454"/>
      <c r="K17" s="454"/>
      <c r="L17" s="454"/>
      <c r="M17" s="454"/>
      <c r="N17" s="359"/>
      <c r="O17" s="359"/>
      <c r="P17" s="359"/>
      <c r="Q17" s="359"/>
      <c r="R17" s="359"/>
      <c r="S17" s="359"/>
      <c r="T17" s="359"/>
      <c r="U17" s="359"/>
      <c r="V17" s="359"/>
      <c r="W17" s="359"/>
      <c r="X17" s="359"/>
      <c r="Y17" s="359"/>
      <c r="Z17" s="359"/>
      <c r="AA17" s="359"/>
      <c r="AB17" s="359"/>
      <c r="AC17" s="359"/>
      <c r="AD17" s="359"/>
      <c r="AE17" s="359"/>
      <c r="AF17" s="359"/>
      <c r="AG17" s="359"/>
      <c r="AH17" s="359"/>
      <c r="AI17" s="359"/>
      <c r="AJ17" s="359"/>
      <c r="AK17" s="359"/>
      <c r="AL17" s="359"/>
      <c r="AM17" s="359"/>
      <c r="AN17" s="359"/>
      <c r="AO17" s="359"/>
      <c r="AP17" s="359"/>
    </row>
    <row r="18" spans="1:42" s="358" customFormat="1" ht="15" customHeight="1" x14ac:dyDescent="0.25">
      <c r="A18" s="359"/>
      <c r="B18" s="454"/>
      <c r="C18" s="454"/>
      <c r="D18" s="454"/>
      <c r="E18" s="454"/>
      <c r="F18" s="454"/>
      <c r="G18" s="454"/>
      <c r="H18" s="454"/>
      <c r="I18" s="454"/>
      <c r="J18" s="454"/>
      <c r="K18" s="454"/>
      <c r="L18" s="454"/>
      <c r="M18" s="454"/>
      <c r="N18" s="359"/>
      <c r="O18" s="359"/>
      <c r="P18" s="359"/>
      <c r="Q18" s="359"/>
      <c r="R18" s="359"/>
      <c r="S18" s="359"/>
      <c r="T18" s="359"/>
      <c r="U18" s="359"/>
      <c r="V18" s="359"/>
      <c r="W18" s="359"/>
      <c r="X18" s="359"/>
      <c r="Y18" s="359"/>
      <c r="Z18" s="359"/>
      <c r="AA18" s="359"/>
      <c r="AB18" s="359"/>
      <c r="AC18" s="359"/>
      <c r="AD18" s="359"/>
      <c r="AE18" s="359"/>
      <c r="AF18" s="359"/>
      <c r="AG18" s="359"/>
      <c r="AH18" s="359"/>
      <c r="AI18" s="359"/>
      <c r="AJ18" s="359"/>
      <c r="AK18" s="359"/>
      <c r="AL18" s="359"/>
      <c r="AM18" s="359"/>
      <c r="AN18" s="359"/>
      <c r="AO18" s="359"/>
      <c r="AP18" s="359"/>
    </row>
    <row r="19" spans="1:42" s="358" customFormat="1" ht="31.2" customHeight="1" x14ac:dyDescent="0.25">
      <c r="A19" s="359"/>
      <c r="B19" s="455"/>
      <c r="C19" s="455"/>
      <c r="D19" s="455"/>
      <c r="E19" s="455"/>
      <c r="F19" s="455"/>
      <c r="G19" s="455"/>
      <c r="H19" s="455"/>
      <c r="I19" s="455"/>
      <c r="J19" s="455"/>
      <c r="K19" s="455"/>
      <c r="L19" s="455"/>
      <c r="M19" s="455"/>
      <c r="N19" s="359"/>
      <c r="O19" s="359"/>
      <c r="P19" s="359"/>
      <c r="Q19" s="359"/>
      <c r="R19" s="359"/>
      <c r="S19" s="359"/>
      <c r="T19" s="359"/>
      <c r="U19" s="359"/>
      <c r="V19" s="359"/>
      <c r="W19" s="359"/>
      <c r="X19" s="359"/>
      <c r="Y19" s="359"/>
      <c r="Z19" s="359"/>
      <c r="AA19" s="359"/>
      <c r="AB19" s="359"/>
      <c r="AC19" s="359"/>
      <c r="AD19" s="359"/>
      <c r="AE19" s="359"/>
      <c r="AF19" s="359"/>
      <c r="AG19" s="359"/>
      <c r="AH19" s="359"/>
      <c r="AI19" s="359"/>
      <c r="AJ19" s="359"/>
      <c r="AK19" s="359"/>
      <c r="AL19" s="359"/>
      <c r="AM19" s="359"/>
      <c r="AN19" s="359"/>
      <c r="AO19" s="359"/>
      <c r="AP19" s="359"/>
    </row>
    <row r="20" spans="1:42" s="358" customFormat="1" ht="15.75" customHeight="1" x14ac:dyDescent="0.25">
      <c r="A20" s="356"/>
      <c r="B20" s="360"/>
      <c r="C20" s="360"/>
      <c r="D20" s="360"/>
      <c r="E20" s="360"/>
      <c r="F20" s="360"/>
      <c r="G20" s="360"/>
      <c r="H20" s="360"/>
      <c r="I20" s="360"/>
      <c r="J20" s="360"/>
      <c r="K20" s="360"/>
      <c r="L20" s="360"/>
      <c r="M20" s="360"/>
      <c r="N20" s="356"/>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row>
    <row r="21" spans="1:42" ht="21" customHeight="1" x14ac:dyDescent="0.25">
      <c r="A21" s="21"/>
      <c r="B21" s="450" t="s">
        <v>349</v>
      </c>
      <c r="C21" s="450"/>
      <c r="D21" s="450"/>
      <c r="E21" s="450"/>
      <c r="F21" s="450"/>
      <c r="G21" s="450"/>
      <c r="H21" s="450"/>
      <c r="I21" s="450"/>
      <c r="J21" s="450"/>
      <c r="K21" s="450"/>
      <c r="L21" s="450"/>
      <c r="M21" s="450"/>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row>
    <row r="22" spans="1:42" ht="18" customHeight="1" x14ac:dyDescent="0.25">
      <c r="A22" s="21"/>
      <c r="B22" s="445" t="s">
        <v>350</v>
      </c>
      <c r="C22" s="445"/>
      <c r="D22" s="445"/>
      <c r="E22" s="445" t="s">
        <v>351</v>
      </c>
      <c r="F22" s="445"/>
      <c r="G22" s="445"/>
      <c r="H22" s="445"/>
      <c r="I22" s="445"/>
      <c r="J22" s="445"/>
      <c r="K22" s="445" t="s">
        <v>352</v>
      </c>
      <c r="L22" s="445"/>
      <c r="M22" s="445"/>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row>
    <row r="23" spans="1:42" ht="53.25" customHeight="1" x14ac:dyDescent="0.25">
      <c r="A23" s="21"/>
      <c r="B23" s="436" t="s">
        <v>353</v>
      </c>
      <c r="C23" s="437"/>
      <c r="D23" s="438"/>
      <c r="E23" s="436" t="s">
        <v>356</v>
      </c>
      <c r="F23" s="437"/>
      <c r="G23" s="437"/>
      <c r="H23" s="437"/>
      <c r="I23" s="437"/>
      <c r="J23" s="438"/>
      <c r="K23" s="446" t="s">
        <v>445</v>
      </c>
      <c r="L23" s="446"/>
      <c r="M23" s="446"/>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spans="1:42" ht="27" customHeight="1" x14ac:dyDescent="0.25">
      <c r="A24" s="21"/>
      <c r="B24" s="436" t="s">
        <v>358</v>
      </c>
      <c r="C24" s="437"/>
      <c r="D24" s="438"/>
      <c r="E24" s="436" t="s">
        <v>381</v>
      </c>
      <c r="F24" s="437"/>
      <c r="G24" s="437"/>
      <c r="H24" s="437"/>
      <c r="I24" s="437"/>
      <c r="J24" s="438"/>
      <c r="K24" s="439" t="s">
        <v>354</v>
      </c>
      <c r="L24" s="440"/>
      <c r="M24" s="44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row>
    <row r="25" spans="1:42" ht="27" customHeight="1" x14ac:dyDescent="0.25">
      <c r="A25" s="21"/>
      <c r="B25" s="436" t="s">
        <v>359</v>
      </c>
      <c r="C25" s="437"/>
      <c r="D25" s="438"/>
      <c r="E25" s="436" t="s">
        <v>382</v>
      </c>
      <c r="F25" s="437"/>
      <c r="G25" s="437"/>
      <c r="H25" s="437"/>
      <c r="I25" s="437"/>
      <c r="J25" s="438"/>
      <c r="K25" s="442"/>
      <c r="L25" s="443"/>
      <c r="M25" s="444"/>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row>
    <row r="26" spans="1:42" ht="27" customHeight="1" x14ac:dyDescent="0.25">
      <c r="A26" s="21"/>
      <c r="B26" s="436" t="s">
        <v>360</v>
      </c>
      <c r="C26" s="437"/>
      <c r="D26" s="438"/>
      <c r="E26" s="436" t="s">
        <v>383</v>
      </c>
      <c r="F26" s="437"/>
      <c r="G26" s="437"/>
      <c r="H26" s="437"/>
      <c r="I26" s="437"/>
      <c r="J26" s="438"/>
      <c r="K26" s="442"/>
      <c r="L26" s="443"/>
      <c r="M26" s="444"/>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row>
    <row r="27" spans="1:42" ht="27" customHeight="1" x14ac:dyDescent="0.25">
      <c r="A27" s="21"/>
      <c r="B27" s="436" t="s">
        <v>361</v>
      </c>
      <c r="C27" s="437"/>
      <c r="D27" s="438"/>
      <c r="E27" s="436" t="s">
        <v>384</v>
      </c>
      <c r="F27" s="437"/>
      <c r="G27" s="437"/>
      <c r="H27" s="437"/>
      <c r="I27" s="437"/>
      <c r="J27" s="438"/>
      <c r="K27" s="442"/>
      <c r="L27" s="443"/>
      <c r="M27" s="444"/>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row>
    <row r="28" spans="1:42" ht="27" customHeight="1" x14ac:dyDescent="0.25">
      <c r="A28" s="21"/>
      <c r="B28" s="436" t="s">
        <v>362</v>
      </c>
      <c r="C28" s="437"/>
      <c r="D28" s="438"/>
      <c r="E28" s="436" t="s">
        <v>385</v>
      </c>
      <c r="F28" s="437"/>
      <c r="G28" s="437"/>
      <c r="H28" s="437"/>
      <c r="I28" s="437"/>
      <c r="J28" s="438"/>
      <c r="K28" s="442"/>
      <c r="L28" s="443"/>
      <c r="M28" s="444"/>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row>
    <row r="29" spans="1:42" ht="27" customHeight="1" x14ac:dyDescent="0.25">
      <c r="A29" s="21"/>
      <c r="B29" s="436" t="s">
        <v>363</v>
      </c>
      <c r="C29" s="437"/>
      <c r="D29" s="438"/>
      <c r="E29" s="436" t="s">
        <v>386</v>
      </c>
      <c r="F29" s="437"/>
      <c r="G29" s="437"/>
      <c r="H29" s="437"/>
      <c r="I29" s="437"/>
      <c r="J29" s="438"/>
      <c r="K29" s="442"/>
      <c r="L29" s="443"/>
      <c r="M29" s="444"/>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row>
    <row r="30" spans="1:42" ht="27" customHeight="1" x14ac:dyDescent="0.25">
      <c r="A30" s="21"/>
      <c r="B30" s="436" t="s">
        <v>364</v>
      </c>
      <c r="C30" s="437"/>
      <c r="D30" s="438"/>
      <c r="E30" s="436" t="s">
        <v>387</v>
      </c>
      <c r="F30" s="437"/>
      <c r="G30" s="437"/>
      <c r="H30" s="437"/>
      <c r="I30" s="437"/>
      <c r="J30" s="438"/>
      <c r="K30" s="442"/>
      <c r="L30" s="443"/>
      <c r="M30" s="444"/>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row>
    <row r="31" spans="1:42" ht="27" customHeight="1" x14ac:dyDescent="0.25">
      <c r="A31" s="21"/>
      <c r="B31" s="436" t="s">
        <v>365</v>
      </c>
      <c r="C31" s="437"/>
      <c r="D31" s="438"/>
      <c r="E31" s="436" t="s">
        <v>388</v>
      </c>
      <c r="F31" s="437"/>
      <c r="G31" s="437"/>
      <c r="H31" s="437"/>
      <c r="I31" s="437"/>
      <c r="J31" s="438"/>
      <c r="K31" s="442"/>
      <c r="L31" s="443"/>
      <c r="M31" s="444"/>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row>
    <row r="32" spans="1:42" ht="27" customHeight="1" x14ac:dyDescent="0.25">
      <c r="A32" s="21"/>
      <c r="B32" s="436" t="s">
        <v>366</v>
      </c>
      <c r="C32" s="437"/>
      <c r="D32" s="438"/>
      <c r="E32" s="436" t="s">
        <v>389</v>
      </c>
      <c r="F32" s="437"/>
      <c r="G32" s="437"/>
      <c r="H32" s="437"/>
      <c r="I32" s="437"/>
      <c r="J32" s="438"/>
      <c r="K32" s="442"/>
      <c r="L32" s="443"/>
      <c r="M32" s="444"/>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row>
    <row r="33" spans="1:42" ht="27" customHeight="1" x14ac:dyDescent="0.25">
      <c r="A33" s="21"/>
      <c r="B33" s="436" t="s">
        <v>367</v>
      </c>
      <c r="C33" s="437"/>
      <c r="D33" s="438"/>
      <c r="E33" s="436" t="s">
        <v>390</v>
      </c>
      <c r="F33" s="437"/>
      <c r="G33" s="437"/>
      <c r="H33" s="437"/>
      <c r="I33" s="437"/>
      <c r="J33" s="438"/>
      <c r="K33" s="442"/>
      <c r="L33" s="443"/>
      <c r="M33" s="444"/>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row>
    <row r="34" spans="1:42" ht="27" customHeight="1" x14ac:dyDescent="0.25">
      <c r="A34" s="21"/>
      <c r="B34" s="436" t="s">
        <v>368</v>
      </c>
      <c r="C34" s="437"/>
      <c r="D34" s="438"/>
      <c r="E34" s="436" t="s">
        <v>391</v>
      </c>
      <c r="F34" s="437"/>
      <c r="G34" s="437"/>
      <c r="H34" s="437"/>
      <c r="I34" s="437"/>
      <c r="J34" s="438"/>
      <c r="K34" s="442"/>
      <c r="L34" s="443"/>
      <c r="M34" s="444"/>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row>
    <row r="35" spans="1:42" ht="27" customHeight="1" x14ac:dyDescent="0.25">
      <c r="A35" s="21"/>
      <c r="B35" s="436" t="s">
        <v>369</v>
      </c>
      <c r="C35" s="437"/>
      <c r="D35" s="438"/>
      <c r="E35" s="436" t="s">
        <v>392</v>
      </c>
      <c r="F35" s="437"/>
      <c r="G35" s="437"/>
      <c r="H35" s="437"/>
      <c r="I35" s="437"/>
      <c r="J35" s="438"/>
      <c r="K35" s="442"/>
      <c r="L35" s="443"/>
      <c r="M35" s="444"/>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row>
    <row r="36" spans="1:42" ht="27" customHeight="1" x14ac:dyDescent="0.25">
      <c r="A36" s="21"/>
      <c r="B36" s="436" t="s">
        <v>370</v>
      </c>
      <c r="C36" s="437"/>
      <c r="D36" s="438"/>
      <c r="E36" s="436" t="s">
        <v>393</v>
      </c>
      <c r="F36" s="437"/>
      <c r="G36" s="437"/>
      <c r="H36" s="437"/>
      <c r="I36" s="437"/>
      <c r="J36" s="438"/>
      <c r="K36" s="442"/>
      <c r="L36" s="443"/>
      <c r="M36" s="444"/>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row>
    <row r="37" spans="1:42" ht="27" customHeight="1" x14ac:dyDescent="0.25">
      <c r="A37" s="21"/>
      <c r="B37" s="436" t="s">
        <v>371</v>
      </c>
      <c r="C37" s="437"/>
      <c r="D37" s="438"/>
      <c r="E37" s="436" t="s">
        <v>394</v>
      </c>
      <c r="F37" s="437"/>
      <c r="G37" s="437"/>
      <c r="H37" s="437"/>
      <c r="I37" s="437"/>
      <c r="J37" s="438"/>
      <c r="K37" s="442"/>
      <c r="L37" s="443"/>
      <c r="M37" s="444"/>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row>
    <row r="38" spans="1:42" ht="27" customHeight="1" x14ac:dyDescent="0.25">
      <c r="A38" s="21"/>
      <c r="B38" s="436" t="s">
        <v>372</v>
      </c>
      <c r="C38" s="437"/>
      <c r="D38" s="438"/>
      <c r="E38" s="436" t="s">
        <v>395</v>
      </c>
      <c r="F38" s="437"/>
      <c r="G38" s="437"/>
      <c r="H38" s="437"/>
      <c r="I38" s="437"/>
      <c r="J38" s="438"/>
      <c r="K38" s="442"/>
      <c r="L38" s="443"/>
      <c r="M38" s="444"/>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row>
    <row r="39" spans="1:42" ht="27" customHeight="1" x14ac:dyDescent="0.25">
      <c r="A39" s="21"/>
      <c r="B39" s="436" t="s">
        <v>373</v>
      </c>
      <c r="C39" s="437"/>
      <c r="D39" s="438"/>
      <c r="E39" s="436" t="s">
        <v>396</v>
      </c>
      <c r="F39" s="437"/>
      <c r="G39" s="437"/>
      <c r="H39" s="437"/>
      <c r="I39" s="437"/>
      <c r="J39" s="438"/>
      <c r="K39" s="442"/>
      <c r="L39" s="443"/>
      <c r="M39" s="444"/>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row>
    <row r="40" spans="1:42" ht="27" customHeight="1" x14ac:dyDescent="0.25">
      <c r="A40" s="21"/>
      <c r="B40" s="436" t="s">
        <v>374</v>
      </c>
      <c r="C40" s="437"/>
      <c r="D40" s="438"/>
      <c r="E40" s="436" t="s">
        <v>397</v>
      </c>
      <c r="F40" s="437"/>
      <c r="G40" s="437"/>
      <c r="H40" s="437"/>
      <c r="I40" s="437"/>
      <c r="J40" s="438"/>
      <c r="K40" s="442"/>
      <c r="L40" s="443"/>
      <c r="M40" s="444"/>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row>
    <row r="41" spans="1:42" ht="27" customHeight="1" x14ac:dyDescent="0.25">
      <c r="A41" s="21"/>
      <c r="B41" s="436" t="s">
        <v>375</v>
      </c>
      <c r="C41" s="437"/>
      <c r="D41" s="438"/>
      <c r="E41" s="436" t="s">
        <v>398</v>
      </c>
      <c r="F41" s="437"/>
      <c r="G41" s="437"/>
      <c r="H41" s="437"/>
      <c r="I41" s="437"/>
      <c r="J41" s="438"/>
      <c r="K41" s="442"/>
      <c r="L41" s="443"/>
      <c r="M41" s="444"/>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row>
    <row r="42" spans="1:42" ht="27" customHeight="1" x14ac:dyDescent="0.25">
      <c r="A42" s="21"/>
      <c r="B42" s="436" t="s">
        <v>376</v>
      </c>
      <c r="C42" s="437"/>
      <c r="D42" s="438"/>
      <c r="E42" s="436" t="s">
        <v>399</v>
      </c>
      <c r="F42" s="437"/>
      <c r="G42" s="437"/>
      <c r="H42" s="437"/>
      <c r="I42" s="437"/>
      <c r="J42" s="438"/>
      <c r="K42" s="442"/>
      <c r="L42" s="443"/>
      <c r="M42" s="444"/>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row>
    <row r="43" spans="1:42" ht="27" customHeight="1" x14ac:dyDescent="0.25">
      <c r="A43" s="21"/>
      <c r="B43" s="436" t="s">
        <v>377</v>
      </c>
      <c r="C43" s="437"/>
      <c r="D43" s="438"/>
      <c r="E43" s="436" t="s">
        <v>400</v>
      </c>
      <c r="F43" s="437"/>
      <c r="G43" s="437"/>
      <c r="H43" s="437"/>
      <c r="I43" s="437"/>
      <c r="J43" s="438"/>
      <c r="K43" s="442"/>
      <c r="L43" s="443"/>
      <c r="M43" s="444"/>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row>
    <row r="44" spans="1:42" ht="27" customHeight="1" x14ac:dyDescent="0.25">
      <c r="A44" s="21"/>
      <c r="B44" s="436" t="s">
        <v>378</v>
      </c>
      <c r="C44" s="437"/>
      <c r="D44" s="438"/>
      <c r="E44" s="436" t="s">
        <v>459</v>
      </c>
      <c r="F44" s="437"/>
      <c r="G44" s="437"/>
      <c r="H44" s="437"/>
      <c r="I44" s="437"/>
      <c r="J44" s="438"/>
      <c r="K44" s="442"/>
      <c r="L44" s="443"/>
      <c r="M44" s="444"/>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row>
    <row r="45" spans="1:42" ht="27" customHeight="1" x14ac:dyDescent="0.25">
      <c r="A45" s="21"/>
      <c r="B45" s="436" t="s">
        <v>379</v>
      </c>
      <c r="C45" s="437"/>
      <c r="D45" s="438"/>
      <c r="E45" s="436" t="s">
        <v>401</v>
      </c>
      <c r="F45" s="437"/>
      <c r="G45" s="437"/>
      <c r="H45" s="437"/>
      <c r="I45" s="437"/>
      <c r="J45" s="438"/>
      <c r="K45" s="442"/>
      <c r="L45" s="443"/>
      <c r="M45" s="444"/>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row>
    <row r="46" spans="1:42" ht="27" customHeight="1" x14ac:dyDescent="0.25">
      <c r="A46" s="21"/>
      <c r="B46" s="436" t="s">
        <v>380</v>
      </c>
      <c r="C46" s="437"/>
      <c r="D46" s="438"/>
      <c r="E46" s="436" t="s">
        <v>460</v>
      </c>
      <c r="F46" s="437"/>
      <c r="G46" s="437"/>
      <c r="H46" s="437"/>
      <c r="I46" s="437"/>
      <c r="J46" s="438"/>
      <c r="K46" s="442"/>
      <c r="L46" s="443"/>
      <c r="M46" s="444"/>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row>
    <row r="47" spans="1:42" ht="29.25" customHeight="1" x14ac:dyDescent="0.25">
      <c r="A47" s="21"/>
      <c r="B47" s="436" t="s">
        <v>357</v>
      </c>
      <c r="C47" s="437"/>
      <c r="D47" s="438"/>
      <c r="E47" s="439" t="s">
        <v>355</v>
      </c>
      <c r="F47" s="440"/>
      <c r="G47" s="440"/>
      <c r="H47" s="440"/>
      <c r="I47" s="440"/>
      <c r="J47" s="441"/>
      <c r="K47" s="442"/>
      <c r="L47" s="443"/>
      <c r="M47" s="444"/>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row>
    <row r="48" spans="1:42" ht="95.4" customHeight="1" x14ac:dyDescent="0.25">
      <c r="A48" s="21"/>
      <c r="B48" s="436" t="s">
        <v>458</v>
      </c>
      <c r="C48" s="437"/>
      <c r="D48" s="438"/>
      <c r="E48" s="447"/>
      <c r="F48" s="448"/>
      <c r="G48" s="448"/>
      <c r="H48" s="448"/>
      <c r="I48" s="448"/>
      <c r="J48" s="449"/>
      <c r="K48" s="442"/>
      <c r="L48" s="443"/>
      <c r="M48" s="444"/>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row>
    <row r="49" spans="1:42" ht="13.8"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row>
    <row r="50" spans="1:42" ht="13.8"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row>
    <row r="51" spans="1:42" ht="13.8"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row>
    <row r="52" spans="1:42" ht="13.8"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row>
    <row r="53" spans="1:42" ht="13.8"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row>
    <row r="54" spans="1:42" ht="13.8"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row>
    <row r="55" spans="1:42" ht="13.8"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row>
    <row r="56" spans="1:42" ht="13.8"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row>
    <row r="57" spans="1:42" ht="13.8"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row>
    <row r="58" spans="1:42" ht="13.8"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row>
    <row r="59" spans="1:42" ht="13.8"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row>
    <row r="60" spans="1:42" ht="13.8"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row>
    <row r="61" spans="1:42" ht="13.8"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row>
    <row r="62" spans="1:42" ht="13.8"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row>
    <row r="63" spans="1:42" ht="13.8"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row>
    <row r="64" spans="1:42" ht="13.8"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row>
    <row r="65" spans="1:42" ht="13.8"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row>
    <row r="66" spans="1:42" ht="13.8"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row>
    <row r="67" spans="1:42" ht="13.8"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row>
    <row r="68" spans="1:42" ht="13.8"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row>
    <row r="69" spans="1:42" ht="13.8"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row>
    <row r="70" spans="1:42" ht="13.8"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row>
    <row r="71" spans="1:42" ht="13.8"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spans="1:42" ht="13.8"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row>
    <row r="73" spans="1:42" ht="13.8"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row>
    <row r="74" spans="1:42" ht="13.8"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row>
    <row r="75" spans="1:42" ht="13.8"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row>
    <row r="76" spans="1:42" ht="13.8"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row>
    <row r="77" spans="1:42" ht="13.8"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row>
    <row r="78" spans="1:42" ht="13.8"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row>
    <row r="79" spans="1:42" ht="13.8"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row>
    <row r="80" spans="1:42" ht="13.8"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row>
    <row r="81" spans="1:42" ht="13.8"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row>
    <row r="82" spans="1:42" ht="13.8"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row>
    <row r="83" spans="1:42" ht="13.8"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row>
    <row r="84" spans="1:42" ht="13.8"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row>
    <row r="85" spans="1:42" ht="13.8"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row>
    <row r="86" spans="1:42" ht="13.8"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row>
    <row r="87" spans="1:42" ht="13.8"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row>
    <row r="88" spans="1:42" ht="13.8"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row>
    <row r="89" spans="1:42" ht="13.8"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row>
    <row r="90" spans="1:42" ht="13.8"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row>
    <row r="91" spans="1:42" ht="13.8"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row>
    <row r="92" spans="1:42" ht="13.8"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row>
    <row r="93" spans="1:42" ht="13.8"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row>
    <row r="94" spans="1:42" ht="13.8"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row>
    <row r="95" spans="1:42" ht="13.8"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row>
    <row r="96" spans="1:42" ht="13.8"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row>
    <row r="97" spans="1:42" ht="13.8"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row>
    <row r="98" spans="1:42" ht="13.8"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row>
    <row r="99" spans="1:42" ht="13.8"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row>
    <row r="100" spans="1:42" ht="13.8"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row>
    <row r="101" spans="1:42" ht="13.8"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row>
    <row r="102" spans="1:42" ht="13.8"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row>
    <row r="103" spans="1:42" ht="13.8"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row>
    <row r="104" spans="1:42" ht="13.8"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row>
    <row r="105" spans="1:42" ht="13.8"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row>
    <row r="106" spans="1:42" ht="13.8"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row>
    <row r="107" spans="1:42" ht="13.8"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row>
    <row r="108" spans="1:42" ht="13.8"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row>
    <row r="109" spans="1:42" ht="13.8"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row>
    <row r="110" spans="1:42" ht="13.8"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row>
    <row r="111" spans="1:42" ht="13.8"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row>
    <row r="112" spans="1:42" ht="13.8"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row>
    <row r="113" spans="1:42" ht="13.8"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row>
    <row r="114" spans="1:42" ht="13.8"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row>
    <row r="115" spans="1:42" ht="13.8"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row>
    <row r="116" spans="1:42" ht="13.8"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row>
    <row r="117" spans="1:42" ht="13.8"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row>
    <row r="118" spans="1:42" ht="13.8"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row>
    <row r="119" spans="1:42" ht="13.8"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row>
    <row r="120" spans="1:42" ht="13.8"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row>
    <row r="121" spans="1:42" ht="13.8"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row>
    <row r="122" spans="1:42" ht="13.8"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row>
    <row r="123" spans="1:42" ht="13.8"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row>
    <row r="124" spans="1:42" ht="13.8"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row>
    <row r="125" spans="1:42" ht="13.8"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row>
    <row r="126" spans="1:42" ht="13.8"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row>
    <row r="127" spans="1:42" ht="13.8"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row>
    <row r="128" spans="1:42" ht="13.8"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row>
    <row r="129" spans="1:42" ht="13.8"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row>
    <row r="130" spans="1:42" ht="13.8"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row>
    <row r="131" spans="1:42" ht="13.8"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row>
    <row r="132" spans="1:42" ht="13.8"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row>
    <row r="133" spans="1:42" ht="13.8"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row>
    <row r="134" spans="1:42" ht="13.8"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row>
    <row r="135" spans="1:42" ht="13.8"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row>
    <row r="136" spans="1:42" ht="13.8"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row>
    <row r="137" spans="1:42" ht="13.8"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row>
    <row r="138" spans="1:42" ht="13.8"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row>
    <row r="139" spans="1:42" ht="13.8"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row>
    <row r="140" spans="1:42" ht="13.8"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row>
  </sheetData>
  <mergeCells count="69">
    <mergeCell ref="B21:M21"/>
    <mergeCell ref="A1:B4"/>
    <mergeCell ref="C1:M1"/>
    <mergeCell ref="N1:O1"/>
    <mergeCell ref="C2:M3"/>
    <mergeCell ref="N2:O3"/>
    <mergeCell ref="C4:M4"/>
    <mergeCell ref="N4:O4"/>
    <mergeCell ref="B6:M6"/>
    <mergeCell ref="B7:M9"/>
    <mergeCell ref="B11:M11"/>
    <mergeCell ref="B12:M15"/>
    <mergeCell ref="B16:M19"/>
    <mergeCell ref="K24:M48"/>
    <mergeCell ref="B25:D25"/>
    <mergeCell ref="E25:J25"/>
    <mergeCell ref="B22:D22"/>
    <mergeCell ref="E22:J22"/>
    <mergeCell ref="K22:M22"/>
    <mergeCell ref="B23:D23"/>
    <mergeCell ref="E23:J23"/>
    <mergeCell ref="K23:M23"/>
    <mergeCell ref="B31:D31"/>
    <mergeCell ref="B47:D47"/>
    <mergeCell ref="E47:J48"/>
    <mergeCell ref="B48:D48"/>
    <mergeCell ref="B24:D24"/>
    <mergeCell ref="E24:J24"/>
    <mergeCell ref="B26:D26"/>
    <mergeCell ref="B27:D27"/>
    <mergeCell ref="B28:D28"/>
    <mergeCell ref="B29:D29"/>
    <mergeCell ref="B30:D30"/>
    <mergeCell ref="B43:D43"/>
    <mergeCell ref="B32:D32"/>
    <mergeCell ref="B33:D33"/>
    <mergeCell ref="B34:D34"/>
    <mergeCell ref="B35:D35"/>
    <mergeCell ref="B36:D36"/>
    <mergeCell ref="B37:D37"/>
    <mergeCell ref="E38:J38"/>
    <mergeCell ref="B44:D44"/>
    <mergeCell ref="B45:D45"/>
    <mergeCell ref="B46:D46"/>
    <mergeCell ref="E26:J26"/>
    <mergeCell ref="E27:J27"/>
    <mergeCell ref="E28:J28"/>
    <mergeCell ref="E29:J29"/>
    <mergeCell ref="E30:J30"/>
    <mergeCell ref="E31:J31"/>
    <mergeCell ref="E32:J32"/>
    <mergeCell ref="B38:D38"/>
    <mergeCell ref="B39:D39"/>
    <mergeCell ref="B40:D40"/>
    <mergeCell ref="B41:D41"/>
    <mergeCell ref="B42:D42"/>
    <mergeCell ref="E33:J33"/>
    <mergeCell ref="E34:J34"/>
    <mergeCell ref="E35:J35"/>
    <mergeCell ref="E36:J36"/>
    <mergeCell ref="E37:J37"/>
    <mergeCell ref="E45:J45"/>
    <mergeCell ref="E46:J46"/>
    <mergeCell ref="E39:J39"/>
    <mergeCell ref="E40:J40"/>
    <mergeCell ref="E41:J41"/>
    <mergeCell ref="E42:J42"/>
    <mergeCell ref="E43:J43"/>
    <mergeCell ref="E44:J44"/>
  </mergeCells>
  <printOptions horizontalCentered="1"/>
  <pageMargins left="0.70866141732283472" right="0.70866141732283472" top="0.74803149606299213" bottom="0.74803149606299213" header="0.31496062992125984" footer="0.31496062992125984"/>
  <pageSetup scale="40" orientation="landscape" r:id="rId1"/>
  <headerFooter alignWithMargins="0"/>
  <colBreaks count="1" manualBreakCount="1">
    <brk id="15"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58"/>
  <sheetViews>
    <sheetView showGridLines="0" showWhiteSpace="0" zoomScale="50" zoomScaleNormal="50" zoomScaleSheetLayoutView="110" zoomScalePageLayoutView="30" workbookViewId="0">
      <selection sqref="A1:B6"/>
    </sheetView>
  </sheetViews>
  <sheetFormatPr baseColWidth="10" defaultColWidth="11.44140625" defaultRowHeight="13.8" x14ac:dyDescent="0.25"/>
  <cols>
    <col min="1" max="1" width="24.109375" style="95" customWidth="1"/>
    <col min="2" max="2" width="25.6640625" style="95" customWidth="1"/>
    <col min="3" max="3" width="25" style="95" customWidth="1"/>
    <col min="4" max="4" width="4.109375" style="95" customWidth="1"/>
    <col min="5" max="5" width="30" style="95" customWidth="1"/>
    <col min="6" max="8" width="20.6640625" style="95" customWidth="1"/>
    <col min="9" max="9" width="8.6640625" style="95" customWidth="1"/>
    <col min="10" max="10" width="13.5546875" style="95" hidden="1" customWidth="1"/>
    <col min="11" max="11" width="30.88671875" style="112" hidden="1" customWidth="1"/>
    <col min="12" max="12" width="25.6640625" style="95" customWidth="1"/>
    <col min="13" max="13" width="30.6640625" style="95" customWidth="1"/>
    <col min="14" max="14" width="13.5546875" style="95" customWidth="1"/>
    <col min="15" max="15" width="30" style="95" customWidth="1"/>
    <col min="16" max="18" width="20.6640625" style="95" customWidth="1"/>
    <col min="19" max="19" width="10.33203125" style="95" bestFit="1" customWidth="1"/>
    <col min="20" max="22" width="19" style="146" hidden="1" customWidth="1"/>
    <col min="23" max="23" width="19" style="147" hidden="1" customWidth="1"/>
    <col min="24" max="24" width="15.6640625" style="96" customWidth="1"/>
    <col min="25" max="25" width="15.6640625" style="97" customWidth="1"/>
    <col min="26" max="16384" width="11.44140625" style="95"/>
  </cols>
  <sheetData>
    <row r="1" spans="1:25" s="216" customFormat="1" ht="30" customHeight="1" thickBot="1" x14ac:dyDescent="0.6">
      <c r="A1" s="485"/>
      <c r="B1" s="485"/>
      <c r="C1" s="486" t="s">
        <v>402</v>
      </c>
      <c r="D1" s="486"/>
      <c r="E1" s="486"/>
      <c r="F1" s="486"/>
      <c r="G1" s="486"/>
      <c r="H1" s="486"/>
      <c r="I1" s="486"/>
      <c r="J1" s="486"/>
      <c r="K1" s="486"/>
      <c r="L1" s="486"/>
      <c r="M1" s="486"/>
      <c r="N1" s="486"/>
      <c r="O1" s="486"/>
      <c r="P1" s="486"/>
      <c r="Q1" s="486"/>
      <c r="R1" s="486"/>
      <c r="S1" s="486"/>
      <c r="T1" s="236"/>
      <c r="U1" s="236"/>
      <c r="V1" s="236"/>
      <c r="W1" s="236"/>
      <c r="X1" s="487" t="s">
        <v>340</v>
      </c>
      <c r="Y1" s="487"/>
    </row>
    <row r="2" spans="1:25" s="216" customFormat="1" ht="18" customHeight="1" thickBot="1" x14ac:dyDescent="0.6">
      <c r="A2" s="485"/>
      <c r="B2" s="485"/>
      <c r="C2" s="486"/>
      <c r="D2" s="486"/>
      <c r="E2" s="486"/>
      <c r="F2" s="486"/>
      <c r="G2" s="486"/>
      <c r="H2" s="486"/>
      <c r="I2" s="486"/>
      <c r="J2" s="486"/>
      <c r="K2" s="486"/>
      <c r="L2" s="486"/>
      <c r="M2" s="486"/>
      <c r="N2" s="486"/>
      <c r="O2" s="486"/>
      <c r="P2" s="486"/>
      <c r="Q2" s="486"/>
      <c r="R2" s="486"/>
      <c r="S2" s="486"/>
      <c r="T2" s="236"/>
      <c r="U2" s="236"/>
      <c r="V2" s="236"/>
      <c r="W2" s="236"/>
      <c r="X2" s="487"/>
      <c r="Y2" s="487"/>
    </row>
    <row r="3" spans="1:25" s="216" customFormat="1" ht="30" customHeight="1" thickBot="1" x14ac:dyDescent="0.6">
      <c r="A3" s="485"/>
      <c r="B3" s="485"/>
      <c r="C3" s="488" t="s">
        <v>177</v>
      </c>
      <c r="D3" s="486"/>
      <c r="E3" s="486"/>
      <c r="F3" s="486"/>
      <c r="G3" s="486"/>
      <c r="H3" s="486"/>
      <c r="I3" s="486"/>
      <c r="J3" s="486"/>
      <c r="K3" s="486"/>
      <c r="L3" s="486"/>
      <c r="M3" s="486"/>
      <c r="N3" s="486"/>
      <c r="O3" s="486"/>
      <c r="P3" s="486"/>
      <c r="Q3" s="486"/>
      <c r="R3" s="486"/>
      <c r="S3" s="486"/>
      <c r="T3" s="236"/>
      <c r="U3" s="236"/>
      <c r="V3" s="236"/>
      <c r="W3" s="236"/>
      <c r="X3" s="489" t="s">
        <v>184</v>
      </c>
      <c r="Y3" s="489"/>
    </row>
    <row r="4" spans="1:25" s="216" customFormat="1" ht="30" customHeight="1" thickBot="1" x14ac:dyDescent="0.6">
      <c r="A4" s="485"/>
      <c r="B4" s="485"/>
      <c r="C4" s="486"/>
      <c r="D4" s="486"/>
      <c r="E4" s="486"/>
      <c r="F4" s="486"/>
      <c r="G4" s="486"/>
      <c r="H4" s="486"/>
      <c r="I4" s="486"/>
      <c r="J4" s="486"/>
      <c r="K4" s="486"/>
      <c r="L4" s="486"/>
      <c r="M4" s="486"/>
      <c r="N4" s="486"/>
      <c r="O4" s="486"/>
      <c r="P4" s="486"/>
      <c r="Q4" s="486"/>
      <c r="R4" s="486"/>
      <c r="S4" s="486"/>
      <c r="T4" s="236"/>
      <c r="U4" s="236"/>
      <c r="V4" s="236"/>
      <c r="W4" s="236"/>
      <c r="X4" s="489"/>
      <c r="Y4" s="489"/>
    </row>
    <row r="5" spans="1:25" ht="30" customHeight="1" thickBot="1" x14ac:dyDescent="0.6">
      <c r="A5" s="485"/>
      <c r="B5" s="485"/>
      <c r="C5" s="490" t="s">
        <v>272</v>
      </c>
      <c r="D5" s="490"/>
      <c r="E5" s="490"/>
      <c r="F5" s="490"/>
      <c r="G5" s="490"/>
      <c r="H5" s="490"/>
      <c r="I5" s="490"/>
      <c r="J5" s="490"/>
      <c r="K5" s="490"/>
      <c r="L5" s="490"/>
      <c r="M5" s="490"/>
      <c r="N5" s="490"/>
      <c r="O5" s="490"/>
      <c r="P5" s="490"/>
      <c r="Q5" s="490"/>
      <c r="R5" s="490"/>
      <c r="S5" s="490"/>
      <c r="T5" s="237"/>
      <c r="U5" s="237"/>
      <c r="V5" s="237"/>
      <c r="W5" s="238"/>
      <c r="X5" s="491">
        <v>44279</v>
      </c>
      <c r="Y5" s="491"/>
    </row>
    <row r="6" spans="1:25" ht="10.5" customHeight="1" thickBot="1" x14ac:dyDescent="0.6">
      <c r="A6" s="485"/>
      <c r="B6" s="485"/>
      <c r="C6" s="490"/>
      <c r="D6" s="490"/>
      <c r="E6" s="490"/>
      <c r="F6" s="490"/>
      <c r="G6" s="490"/>
      <c r="H6" s="490"/>
      <c r="I6" s="490"/>
      <c r="J6" s="490"/>
      <c r="K6" s="490"/>
      <c r="L6" s="490"/>
      <c r="M6" s="490"/>
      <c r="N6" s="490"/>
      <c r="O6" s="490"/>
      <c r="P6" s="490"/>
      <c r="Q6" s="490"/>
      <c r="R6" s="490"/>
      <c r="S6" s="490"/>
      <c r="T6" s="237"/>
      <c r="U6" s="237"/>
      <c r="V6" s="237"/>
      <c r="W6" s="238"/>
      <c r="X6" s="491"/>
      <c r="Y6" s="491"/>
    </row>
    <row r="7" spans="1:25" ht="50.1" customHeight="1" thickTop="1" thickBot="1" x14ac:dyDescent="0.3">
      <c r="B7" s="477" t="s">
        <v>106</v>
      </c>
      <c r="C7" s="477"/>
      <c r="D7" s="477"/>
      <c r="E7" s="477"/>
      <c r="F7" s="194" t="s">
        <v>271</v>
      </c>
      <c r="G7" s="195" t="s">
        <v>142</v>
      </c>
      <c r="H7" s="196" t="s">
        <v>104</v>
      </c>
      <c r="I7" s="197" t="s">
        <v>105</v>
      </c>
      <c r="J7" s="198"/>
      <c r="K7" s="199"/>
      <c r="L7" s="477" t="s">
        <v>108</v>
      </c>
      <c r="M7" s="477"/>
      <c r="N7" s="477"/>
      <c r="O7" s="477"/>
      <c r="P7" s="194" t="s">
        <v>271</v>
      </c>
      <c r="Q7" s="195" t="s">
        <v>103</v>
      </c>
      <c r="R7" s="196" t="s">
        <v>104</v>
      </c>
      <c r="S7" s="197" t="s">
        <v>105</v>
      </c>
      <c r="T7" s="145"/>
    </row>
    <row r="8" spans="1:25" s="100" customFormat="1" ht="47.25" hidden="1" customHeight="1" x14ac:dyDescent="0.3">
      <c r="B8" s="200"/>
      <c r="C8" s="200"/>
      <c r="D8" s="200"/>
      <c r="E8" s="200"/>
      <c r="F8" s="335">
        <v>1</v>
      </c>
      <c r="G8" s="335">
        <v>2</v>
      </c>
      <c r="H8" s="200">
        <v>3</v>
      </c>
      <c r="I8" s="334"/>
      <c r="J8" s="333"/>
      <c r="K8" s="332"/>
      <c r="L8" s="200"/>
      <c r="M8" s="200"/>
      <c r="N8" s="200"/>
      <c r="O8" s="200"/>
      <c r="P8" s="200">
        <v>1</v>
      </c>
      <c r="Q8" s="200">
        <v>2</v>
      </c>
      <c r="R8" s="200">
        <v>3</v>
      </c>
      <c r="S8" s="201"/>
      <c r="T8" s="148"/>
      <c r="U8" s="149"/>
      <c r="V8" s="149"/>
      <c r="W8" s="150"/>
      <c r="X8" s="98"/>
      <c r="Y8" s="99"/>
    </row>
    <row r="9" spans="1:25" s="97" customFormat="1" ht="48" customHeight="1" thickTop="1" thickBot="1" x14ac:dyDescent="0.3">
      <c r="B9" s="475" t="s">
        <v>309</v>
      </c>
      <c r="C9" s="475"/>
      <c r="D9" s="475"/>
      <c r="E9" s="475"/>
      <c r="F9" s="331"/>
      <c r="G9" s="331"/>
      <c r="H9" s="331" t="s">
        <v>118</v>
      </c>
      <c r="I9" s="330">
        <f>SUMIF(F9:H9, "X",$F$8:$H$8)</f>
        <v>3</v>
      </c>
      <c r="J9" s="329"/>
      <c r="K9" s="321"/>
      <c r="L9" s="479" t="s">
        <v>453</v>
      </c>
      <c r="M9" s="480"/>
      <c r="N9" s="480"/>
      <c r="O9" s="481"/>
      <c r="P9" s="320"/>
      <c r="Q9" s="320" t="s">
        <v>118</v>
      </c>
      <c r="R9" s="320"/>
      <c r="S9" s="203">
        <f>SUMIF(P9:R9,"X",P$8:R$8)</f>
        <v>2</v>
      </c>
      <c r="T9" s="151"/>
      <c r="U9" s="152"/>
      <c r="V9" s="152"/>
      <c r="W9" s="147"/>
      <c r="X9" s="96"/>
    </row>
    <row r="10" spans="1:25" s="97" customFormat="1" ht="48" customHeight="1" thickTop="1" thickBot="1" x14ac:dyDescent="0.3">
      <c r="B10" s="476" t="s">
        <v>310</v>
      </c>
      <c r="C10" s="476"/>
      <c r="D10" s="476"/>
      <c r="E10" s="476"/>
      <c r="F10" s="331"/>
      <c r="G10" s="331"/>
      <c r="H10" s="331" t="s">
        <v>118</v>
      </c>
      <c r="I10" s="330">
        <f t="shared" ref="I10:I18" si="0">SUMIF(F10:H10, "X",$F$8:$H$8)</f>
        <v>3</v>
      </c>
      <c r="J10" s="329"/>
      <c r="K10" s="321"/>
      <c r="L10" s="479" t="s">
        <v>313</v>
      </c>
      <c r="M10" s="480"/>
      <c r="N10" s="480"/>
      <c r="O10" s="481"/>
      <c r="P10" s="320"/>
      <c r="Q10" s="320"/>
      <c r="R10" s="320" t="s">
        <v>118</v>
      </c>
      <c r="S10" s="203">
        <f t="shared" ref="S10:S18" si="1">SUMIF(P10:R10,"X",P$8:R$8)</f>
        <v>3</v>
      </c>
      <c r="T10" s="151"/>
      <c r="U10" s="152"/>
      <c r="V10" s="152"/>
      <c r="W10" s="147"/>
      <c r="X10" s="96"/>
    </row>
    <row r="11" spans="1:25" s="97" customFormat="1" ht="58.2" customHeight="1" thickTop="1" thickBot="1" x14ac:dyDescent="0.3">
      <c r="B11" s="475" t="s">
        <v>448</v>
      </c>
      <c r="C11" s="475"/>
      <c r="D11" s="475"/>
      <c r="E11" s="475"/>
      <c r="F11" s="331"/>
      <c r="G11" s="331"/>
      <c r="H11" s="331" t="s">
        <v>118</v>
      </c>
      <c r="I11" s="330">
        <f t="shared" si="0"/>
        <v>3</v>
      </c>
      <c r="J11" s="329"/>
      <c r="K11" s="321"/>
      <c r="L11" s="482" t="s">
        <v>274</v>
      </c>
      <c r="M11" s="483"/>
      <c r="N11" s="483"/>
      <c r="O11" s="484"/>
      <c r="P11" s="320"/>
      <c r="Q11" s="320" t="s">
        <v>118</v>
      </c>
      <c r="R11" s="320"/>
      <c r="S11" s="203">
        <f t="shared" si="1"/>
        <v>2</v>
      </c>
      <c r="T11" s="151"/>
      <c r="U11" s="152"/>
      <c r="V11" s="152"/>
      <c r="W11" s="147"/>
      <c r="X11" s="96"/>
    </row>
    <row r="12" spans="1:25" s="97" customFormat="1" ht="48" customHeight="1" thickTop="1" thickBot="1" x14ac:dyDescent="0.3">
      <c r="B12" s="475" t="s">
        <v>330</v>
      </c>
      <c r="C12" s="475"/>
      <c r="D12" s="475"/>
      <c r="E12" s="475"/>
      <c r="F12" s="331"/>
      <c r="G12" s="331" t="s">
        <v>118</v>
      </c>
      <c r="H12" s="331"/>
      <c r="I12" s="330">
        <f t="shared" si="0"/>
        <v>2</v>
      </c>
      <c r="J12" s="329"/>
      <c r="K12" s="321"/>
      <c r="L12" s="479" t="s">
        <v>275</v>
      </c>
      <c r="M12" s="480"/>
      <c r="N12" s="480"/>
      <c r="O12" s="481"/>
      <c r="P12" s="320"/>
      <c r="Q12" s="320"/>
      <c r="R12" s="320" t="s">
        <v>118</v>
      </c>
      <c r="S12" s="203">
        <f t="shared" si="1"/>
        <v>3</v>
      </c>
      <c r="T12" s="151"/>
      <c r="U12" s="152"/>
      <c r="V12" s="152"/>
      <c r="W12" s="147"/>
      <c r="X12" s="96"/>
    </row>
    <row r="13" spans="1:25" s="97" customFormat="1" ht="66" customHeight="1" thickTop="1" thickBot="1" x14ac:dyDescent="0.3">
      <c r="B13" s="475" t="s">
        <v>449</v>
      </c>
      <c r="C13" s="475"/>
      <c r="D13" s="475"/>
      <c r="E13" s="475"/>
      <c r="F13" s="331"/>
      <c r="G13" s="331"/>
      <c r="H13" s="331" t="s">
        <v>118</v>
      </c>
      <c r="I13" s="330">
        <f t="shared" si="0"/>
        <v>3</v>
      </c>
      <c r="J13" s="329"/>
      <c r="K13" s="321"/>
      <c r="L13" s="479" t="s">
        <v>331</v>
      </c>
      <c r="M13" s="480"/>
      <c r="N13" s="480"/>
      <c r="O13" s="481"/>
      <c r="P13" s="320"/>
      <c r="Q13" s="320"/>
      <c r="R13" s="320" t="s">
        <v>118</v>
      </c>
      <c r="S13" s="203">
        <f t="shared" si="1"/>
        <v>3</v>
      </c>
      <c r="T13" s="151"/>
      <c r="U13" s="152"/>
      <c r="V13" s="152"/>
      <c r="W13" s="147"/>
      <c r="X13" s="96"/>
    </row>
    <row r="14" spans="1:25" s="97" customFormat="1" ht="48" customHeight="1" thickTop="1" thickBot="1" x14ac:dyDescent="0.3">
      <c r="B14" s="475" t="s">
        <v>450</v>
      </c>
      <c r="C14" s="475"/>
      <c r="D14" s="475"/>
      <c r="E14" s="475"/>
      <c r="F14" s="331"/>
      <c r="G14" s="331"/>
      <c r="H14" s="331" t="s">
        <v>118</v>
      </c>
      <c r="I14" s="330">
        <f t="shared" si="0"/>
        <v>3</v>
      </c>
      <c r="J14" s="329"/>
      <c r="K14" s="321"/>
      <c r="L14" s="479" t="s">
        <v>333</v>
      </c>
      <c r="M14" s="480"/>
      <c r="N14" s="480"/>
      <c r="O14" s="481"/>
      <c r="P14" s="320"/>
      <c r="Q14" s="320"/>
      <c r="R14" s="320" t="s">
        <v>118</v>
      </c>
      <c r="S14" s="203">
        <f t="shared" si="1"/>
        <v>3</v>
      </c>
      <c r="T14" s="151"/>
      <c r="U14" s="152"/>
      <c r="V14" s="152"/>
      <c r="W14" s="147"/>
      <c r="X14" s="96"/>
    </row>
    <row r="15" spans="1:25" s="97" customFormat="1" ht="77.400000000000006" customHeight="1" thickTop="1" thickBot="1" x14ac:dyDescent="0.3">
      <c r="B15" s="475" t="s">
        <v>451</v>
      </c>
      <c r="C15" s="475"/>
      <c r="D15" s="475"/>
      <c r="E15" s="475"/>
      <c r="F15" s="331"/>
      <c r="G15" s="331"/>
      <c r="H15" s="331" t="s">
        <v>118</v>
      </c>
      <c r="I15" s="330">
        <f t="shared" si="0"/>
        <v>3</v>
      </c>
      <c r="J15" s="329"/>
      <c r="K15" s="321"/>
      <c r="L15" s="479" t="s">
        <v>454</v>
      </c>
      <c r="M15" s="480"/>
      <c r="N15" s="480"/>
      <c r="O15" s="481"/>
      <c r="P15" s="320"/>
      <c r="Q15" s="320"/>
      <c r="R15" s="320" t="s">
        <v>118</v>
      </c>
      <c r="S15" s="203">
        <f t="shared" si="1"/>
        <v>3</v>
      </c>
      <c r="T15" s="151"/>
      <c r="U15" s="152"/>
      <c r="V15" s="152"/>
      <c r="W15" s="147"/>
      <c r="X15" s="96"/>
    </row>
    <row r="16" spans="1:25" s="97" customFormat="1" ht="48" customHeight="1" thickTop="1" thickBot="1" x14ac:dyDescent="0.3">
      <c r="B16" s="476" t="s">
        <v>311</v>
      </c>
      <c r="C16" s="476"/>
      <c r="D16" s="476"/>
      <c r="E16" s="476"/>
      <c r="F16" s="331"/>
      <c r="G16" s="331"/>
      <c r="H16" s="331" t="s">
        <v>118</v>
      </c>
      <c r="I16" s="330">
        <f t="shared" si="0"/>
        <v>3</v>
      </c>
      <c r="J16" s="329"/>
      <c r="K16" s="321"/>
      <c r="L16" s="479" t="s">
        <v>314</v>
      </c>
      <c r="M16" s="480"/>
      <c r="N16" s="480"/>
      <c r="O16" s="481"/>
      <c r="P16" s="320"/>
      <c r="Q16" s="320"/>
      <c r="R16" s="320" t="s">
        <v>118</v>
      </c>
      <c r="S16" s="203">
        <f t="shared" si="1"/>
        <v>3</v>
      </c>
      <c r="T16" s="151"/>
      <c r="U16" s="152"/>
      <c r="V16" s="152"/>
      <c r="W16" s="147"/>
      <c r="X16" s="96"/>
    </row>
    <row r="17" spans="2:24" s="97" customFormat="1" ht="48" customHeight="1" thickTop="1" thickBot="1" x14ac:dyDescent="0.3">
      <c r="B17" s="475" t="s">
        <v>312</v>
      </c>
      <c r="C17" s="475"/>
      <c r="D17" s="475"/>
      <c r="E17" s="475"/>
      <c r="F17" s="331"/>
      <c r="G17" s="331"/>
      <c r="H17" s="331" t="s">
        <v>118</v>
      </c>
      <c r="I17" s="330">
        <f t="shared" si="0"/>
        <v>3</v>
      </c>
      <c r="J17" s="329"/>
      <c r="K17" s="321"/>
      <c r="L17" s="479" t="s">
        <v>332</v>
      </c>
      <c r="M17" s="480"/>
      <c r="N17" s="480"/>
      <c r="O17" s="481"/>
      <c r="P17" s="320"/>
      <c r="Q17" s="320"/>
      <c r="R17" s="320" t="s">
        <v>118</v>
      </c>
      <c r="S17" s="203">
        <f t="shared" si="1"/>
        <v>3</v>
      </c>
      <c r="T17" s="151"/>
      <c r="U17" s="152"/>
      <c r="V17" s="152"/>
      <c r="W17" s="147"/>
      <c r="X17" s="96"/>
    </row>
    <row r="18" spans="2:24" s="97" customFormat="1" ht="62.4" customHeight="1" thickTop="1" thickBot="1" x14ac:dyDescent="0.3">
      <c r="B18" s="475" t="s">
        <v>452</v>
      </c>
      <c r="C18" s="475"/>
      <c r="D18" s="475"/>
      <c r="E18" s="475"/>
      <c r="F18" s="331"/>
      <c r="G18" s="331"/>
      <c r="H18" s="331" t="s">
        <v>118</v>
      </c>
      <c r="I18" s="330">
        <f t="shared" si="0"/>
        <v>3</v>
      </c>
      <c r="J18" s="329"/>
      <c r="K18" s="321"/>
      <c r="L18" s="479" t="s">
        <v>276</v>
      </c>
      <c r="M18" s="480"/>
      <c r="N18" s="480"/>
      <c r="O18" s="481"/>
      <c r="P18" s="320"/>
      <c r="Q18" s="320"/>
      <c r="R18" s="320" t="s">
        <v>118</v>
      </c>
      <c r="S18" s="203">
        <f t="shared" si="1"/>
        <v>3</v>
      </c>
      <c r="T18" s="151"/>
      <c r="U18" s="152"/>
      <c r="V18" s="152"/>
      <c r="W18" s="153"/>
      <c r="X18" s="96"/>
    </row>
    <row r="19" spans="2:24" ht="19.5" customHeight="1" thickTop="1" thickBot="1" x14ac:dyDescent="0.35">
      <c r="B19" s="469" t="s">
        <v>107</v>
      </c>
      <c r="C19" s="469"/>
      <c r="D19" s="469"/>
      <c r="E19" s="469"/>
      <c r="F19" s="469"/>
      <c r="G19" s="469"/>
      <c r="H19" s="469"/>
      <c r="I19" s="328">
        <f>SUM(I9:I18)</f>
        <v>29</v>
      </c>
      <c r="J19" s="327">
        <f>I19</f>
        <v>29</v>
      </c>
      <c r="K19" s="317"/>
      <c r="L19" s="478" t="s">
        <v>107</v>
      </c>
      <c r="M19" s="478"/>
      <c r="N19" s="478"/>
      <c r="O19" s="478"/>
      <c r="P19" s="474"/>
      <c r="Q19" s="474"/>
      <c r="R19" s="474"/>
      <c r="S19" s="206">
        <f>SUM(S9:S18)*-1</f>
        <v>-28</v>
      </c>
      <c r="T19" s="154">
        <f>S19*-1</f>
        <v>28</v>
      </c>
      <c r="U19" s="155">
        <f>(S19*$K$38)/$M$38</f>
        <v>-96.551724137931032</v>
      </c>
      <c r="W19" s="147">
        <f>(I19*$K$39)/$M$39</f>
        <v>10</v>
      </c>
    </row>
    <row r="20" spans="2:24" ht="9" customHeight="1" thickTop="1" thickBot="1" x14ac:dyDescent="0.3">
      <c r="B20" s="325"/>
      <c r="C20" s="325"/>
      <c r="D20" s="325"/>
      <c r="E20" s="325"/>
      <c r="F20" s="325"/>
      <c r="G20" s="325"/>
      <c r="H20" s="325"/>
      <c r="I20" s="326"/>
      <c r="J20" s="325"/>
      <c r="K20" s="317"/>
      <c r="L20" s="325"/>
      <c r="M20" s="325"/>
      <c r="N20" s="325"/>
      <c r="O20" s="325"/>
      <c r="P20" s="325"/>
      <c r="Q20" s="325"/>
      <c r="R20" s="325"/>
      <c r="S20" s="207"/>
      <c r="T20" s="156"/>
    </row>
    <row r="21" spans="2:24" ht="50.1" customHeight="1" thickTop="1" thickBot="1" x14ac:dyDescent="0.3">
      <c r="B21" s="477" t="s">
        <v>109</v>
      </c>
      <c r="C21" s="477"/>
      <c r="D21" s="477"/>
      <c r="E21" s="477"/>
      <c r="F21" s="194" t="s">
        <v>119</v>
      </c>
      <c r="G21" s="208" t="s">
        <v>143</v>
      </c>
      <c r="H21" s="209" t="s">
        <v>138</v>
      </c>
      <c r="I21" s="197" t="s">
        <v>105</v>
      </c>
      <c r="J21" s="198"/>
      <c r="K21" s="205"/>
      <c r="L21" s="477" t="s">
        <v>111</v>
      </c>
      <c r="M21" s="477"/>
      <c r="N21" s="477"/>
      <c r="O21" s="477"/>
      <c r="P21" s="194" t="s">
        <v>119</v>
      </c>
      <c r="Q21" s="208" t="s">
        <v>143</v>
      </c>
      <c r="R21" s="209" t="s">
        <v>138</v>
      </c>
      <c r="S21" s="197" t="s">
        <v>105</v>
      </c>
      <c r="T21" s="148"/>
    </row>
    <row r="22" spans="2:24" s="97" customFormat="1" ht="48" customHeight="1" thickTop="1" thickBot="1" x14ac:dyDescent="0.3">
      <c r="B22" s="475" t="s">
        <v>315</v>
      </c>
      <c r="C22" s="475"/>
      <c r="D22" s="475"/>
      <c r="E22" s="475"/>
      <c r="F22" s="324"/>
      <c r="G22" s="324"/>
      <c r="H22" s="324" t="s">
        <v>118</v>
      </c>
      <c r="I22" s="323">
        <f t="shared" ref="I22:I30" si="2">SUMIF(F22:H22, "X",$F$8:$H$8)</f>
        <v>3</v>
      </c>
      <c r="J22" s="322"/>
      <c r="K22" s="321"/>
      <c r="L22" s="475" t="s">
        <v>436</v>
      </c>
      <c r="M22" s="475"/>
      <c r="N22" s="475"/>
      <c r="O22" s="475"/>
      <c r="P22" s="320"/>
      <c r="Q22" s="320"/>
      <c r="R22" s="320" t="s">
        <v>118</v>
      </c>
      <c r="S22" s="202">
        <f t="shared" ref="S22:S31" si="3">SUMIF(P22:R22,"X",$P$8:$R$8)</f>
        <v>3</v>
      </c>
      <c r="T22" s="151"/>
      <c r="U22" s="152"/>
      <c r="V22" s="152"/>
      <c r="W22" s="147"/>
      <c r="X22" s="96"/>
    </row>
    <row r="23" spans="2:24" s="97" customFormat="1" ht="48" customHeight="1" thickTop="1" thickBot="1" x14ac:dyDescent="0.3">
      <c r="B23" s="463" t="s">
        <v>316</v>
      </c>
      <c r="C23" s="464"/>
      <c r="D23" s="464"/>
      <c r="E23" s="465"/>
      <c r="F23" s="324"/>
      <c r="G23" s="324"/>
      <c r="H23" s="324" t="s">
        <v>118</v>
      </c>
      <c r="I23" s="323">
        <f t="shared" si="2"/>
        <v>3</v>
      </c>
      <c r="J23" s="322"/>
      <c r="K23" s="321"/>
      <c r="L23" s="475" t="s">
        <v>455</v>
      </c>
      <c r="M23" s="475"/>
      <c r="N23" s="475"/>
      <c r="O23" s="475"/>
      <c r="P23" s="320"/>
      <c r="Q23" s="320"/>
      <c r="R23" s="320" t="s">
        <v>118</v>
      </c>
      <c r="S23" s="202">
        <f t="shared" si="3"/>
        <v>3</v>
      </c>
      <c r="T23" s="151"/>
      <c r="U23" s="152"/>
      <c r="V23" s="152"/>
      <c r="W23" s="147"/>
      <c r="X23" s="96"/>
    </row>
    <row r="24" spans="2:24" s="97" customFormat="1" ht="48" customHeight="1" thickTop="1" thickBot="1" x14ac:dyDescent="0.3">
      <c r="B24" s="463" t="s">
        <v>317</v>
      </c>
      <c r="C24" s="464"/>
      <c r="D24" s="464"/>
      <c r="E24" s="465"/>
      <c r="F24" s="324"/>
      <c r="G24" s="324"/>
      <c r="H24" s="324" t="s">
        <v>118</v>
      </c>
      <c r="I24" s="323">
        <f t="shared" si="2"/>
        <v>3</v>
      </c>
      <c r="J24" s="322"/>
      <c r="K24" s="321"/>
      <c r="L24" s="475" t="s">
        <v>336</v>
      </c>
      <c r="M24" s="475"/>
      <c r="N24" s="475"/>
      <c r="O24" s="475"/>
      <c r="P24" s="320"/>
      <c r="Q24" s="320"/>
      <c r="R24" s="320" t="s">
        <v>118</v>
      </c>
      <c r="S24" s="202">
        <f t="shared" si="3"/>
        <v>3</v>
      </c>
      <c r="T24" s="151"/>
      <c r="U24" s="152"/>
      <c r="V24" s="152"/>
      <c r="W24" s="147"/>
      <c r="X24" s="96"/>
    </row>
    <row r="25" spans="2:24" s="97" customFormat="1" ht="48" customHeight="1" thickTop="1" thickBot="1" x14ac:dyDescent="0.3">
      <c r="B25" s="463" t="s">
        <v>318</v>
      </c>
      <c r="C25" s="464"/>
      <c r="D25" s="464"/>
      <c r="E25" s="465"/>
      <c r="F25" s="324"/>
      <c r="G25" s="324" t="s">
        <v>118</v>
      </c>
      <c r="H25" s="324"/>
      <c r="I25" s="323">
        <f t="shared" si="2"/>
        <v>2</v>
      </c>
      <c r="J25" s="322"/>
      <c r="K25" s="321"/>
      <c r="L25" s="475" t="s">
        <v>337</v>
      </c>
      <c r="M25" s="475"/>
      <c r="N25" s="475"/>
      <c r="O25" s="475"/>
      <c r="P25" s="320"/>
      <c r="Q25" s="320"/>
      <c r="R25" s="320" t="s">
        <v>118</v>
      </c>
      <c r="S25" s="202">
        <f t="shared" si="3"/>
        <v>3</v>
      </c>
      <c r="T25" s="151"/>
      <c r="U25" s="152"/>
      <c r="V25" s="152"/>
      <c r="W25" s="147"/>
      <c r="X25" s="96"/>
    </row>
    <row r="26" spans="2:24" s="97" customFormat="1" ht="78" customHeight="1" thickTop="1" thickBot="1" x14ac:dyDescent="0.3">
      <c r="B26" s="463" t="s">
        <v>334</v>
      </c>
      <c r="C26" s="464"/>
      <c r="D26" s="464"/>
      <c r="E26" s="465"/>
      <c r="F26" s="324"/>
      <c r="G26" s="324" t="s">
        <v>118</v>
      </c>
      <c r="H26" s="324"/>
      <c r="I26" s="323">
        <f t="shared" si="2"/>
        <v>2</v>
      </c>
      <c r="J26" s="322"/>
      <c r="K26" s="321"/>
      <c r="L26" s="475" t="s">
        <v>403</v>
      </c>
      <c r="M26" s="475"/>
      <c r="N26" s="475"/>
      <c r="O26" s="475"/>
      <c r="P26" s="320"/>
      <c r="Q26" s="320"/>
      <c r="R26" s="320" t="s">
        <v>118</v>
      </c>
      <c r="S26" s="202">
        <f t="shared" si="3"/>
        <v>3</v>
      </c>
      <c r="T26" s="151"/>
      <c r="U26" s="152"/>
      <c r="V26" s="152"/>
      <c r="W26" s="147"/>
      <c r="X26" s="96"/>
    </row>
    <row r="27" spans="2:24" s="97" customFormat="1" ht="48" customHeight="1" thickTop="1" thickBot="1" x14ac:dyDescent="0.3">
      <c r="B27" s="463" t="s">
        <v>319</v>
      </c>
      <c r="C27" s="464"/>
      <c r="D27" s="464"/>
      <c r="E27" s="465"/>
      <c r="F27" s="324"/>
      <c r="G27" s="324" t="s">
        <v>118</v>
      </c>
      <c r="H27" s="324"/>
      <c r="I27" s="323">
        <f t="shared" si="2"/>
        <v>2</v>
      </c>
      <c r="J27" s="322"/>
      <c r="K27" s="321"/>
      <c r="L27" s="475" t="s">
        <v>323</v>
      </c>
      <c r="M27" s="475"/>
      <c r="N27" s="475"/>
      <c r="O27" s="475"/>
      <c r="P27" s="320"/>
      <c r="Q27" s="320" t="s">
        <v>118</v>
      </c>
      <c r="R27" s="320"/>
      <c r="S27" s="202">
        <f t="shared" si="3"/>
        <v>2</v>
      </c>
      <c r="T27" s="151"/>
      <c r="U27" s="152"/>
      <c r="V27" s="152"/>
      <c r="W27" s="147"/>
      <c r="X27" s="96"/>
    </row>
    <row r="28" spans="2:24" s="97" customFormat="1" ht="48" customHeight="1" thickTop="1" thickBot="1" x14ac:dyDescent="0.3">
      <c r="B28" s="463" t="s">
        <v>335</v>
      </c>
      <c r="C28" s="464"/>
      <c r="D28" s="464"/>
      <c r="E28" s="465"/>
      <c r="F28" s="324"/>
      <c r="G28" s="324"/>
      <c r="H28" s="324" t="s">
        <v>118</v>
      </c>
      <c r="I28" s="323">
        <f t="shared" si="2"/>
        <v>3</v>
      </c>
      <c r="J28" s="322"/>
      <c r="K28" s="321"/>
      <c r="L28" s="475" t="s">
        <v>338</v>
      </c>
      <c r="M28" s="475"/>
      <c r="N28" s="475"/>
      <c r="O28" s="475"/>
      <c r="P28" s="320"/>
      <c r="Q28" s="320"/>
      <c r="R28" s="320" t="s">
        <v>118</v>
      </c>
      <c r="S28" s="202">
        <f t="shared" si="3"/>
        <v>3</v>
      </c>
      <c r="T28" s="151"/>
      <c r="U28" s="152"/>
      <c r="V28" s="152"/>
      <c r="W28" s="147"/>
      <c r="X28" s="96"/>
    </row>
    <row r="29" spans="2:24" s="97" customFormat="1" ht="48" customHeight="1" thickTop="1" thickBot="1" x14ac:dyDescent="0.3">
      <c r="B29" s="463" t="s">
        <v>320</v>
      </c>
      <c r="C29" s="464"/>
      <c r="D29" s="464"/>
      <c r="E29" s="465"/>
      <c r="F29" s="324"/>
      <c r="G29" s="324" t="s">
        <v>118</v>
      </c>
      <c r="H29" s="324"/>
      <c r="I29" s="323">
        <f t="shared" si="2"/>
        <v>2</v>
      </c>
      <c r="J29" s="322"/>
      <c r="K29" s="321"/>
      <c r="L29" s="463" t="s">
        <v>322</v>
      </c>
      <c r="M29" s="464"/>
      <c r="N29" s="464"/>
      <c r="O29" s="465"/>
      <c r="P29" s="320"/>
      <c r="Q29" s="320"/>
      <c r="R29" s="320" t="s">
        <v>118</v>
      </c>
      <c r="S29" s="202">
        <f t="shared" si="3"/>
        <v>3</v>
      </c>
      <c r="T29" s="151"/>
      <c r="U29" s="152"/>
      <c r="V29" s="152"/>
      <c r="W29" s="147"/>
      <c r="X29" s="96"/>
    </row>
    <row r="30" spans="2:24" s="97" customFormat="1" ht="48" customHeight="1" thickTop="1" thickBot="1" x14ac:dyDescent="0.3">
      <c r="B30" s="463" t="s">
        <v>457</v>
      </c>
      <c r="C30" s="464"/>
      <c r="D30" s="464"/>
      <c r="E30" s="465"/>
      <c r="F30" s="324"/>
      <c r="G30" s="324"/>
      <c r="H30" s="324" t="s">
        <v>118</v>
      </c>
      <c r="I30" s="323">
        <f t="shared" si="2"/>
        <v>3</v>
      </c>
      <c r="J30" s="322"/>
      <c r="K30" s="321"/>
      <c r="L30" s="475" t="s">
        <v>339</v>
      </c>
      <c r="M30" s="475"/>
      <c r="N30" s="475"/>
      <c r="O30" s="475"/>
      <c r="P30" s="320"/>
      <c r="Q30" s="320"/>
      <c r="R30" s="320" t="s">
        <v>118</v>
      </c>
      <c r="S30" s="202">
        <f t="shared" si="3"/>
        <v>3</v>
      </c>
      <c r="T30" s="151"/>
      <c r="U30" s="152"/>
      <c r="V30" s="152"/>
      <c r="W30" s="147"/>
      <c r="X30" s="96"/>
    </row>
    <row r="31" spans="2:24" s="97" customFormat="1" ht="48" customHeight="1" thickTop="1" thickBot="1" x14ac:dyDescent="0.3">
      <c r="B31" s="463" t="s">
        <v>321</v>
      </c>
      <c r="C31" s="464"/>
      <c r="D31" s="464"/>
      <c r="E31" s="465"/>
      <c r="F31" s="324"/>
      <c r="G31" s="324"/>
      <c r="H31" s="324" t="s">
        <v>118</v>
      </c>
      <c r="I31" s="323">
        <f t="shared" ref="I31" si="4">SUMIF(F31:H31, "X",$F$8:$H$8)</f>
        <v>3</v>
      </c>
      <c r="J31" s="322"/>
      <c r="K31" s="321"/>
      <c r="L31" s="476" t="s">
        <v>456</v>
      </c>
      <c r="M31" s="476"/>
      <c r="N31" s="476"/>
      <c r="O31" s="476"/>
      <c r="P31" s="320"/>
      <c r="Q31" s="320"/>
      <c r="R31" s="320" t="s">
        <v>118</v>
      </c>
      <c r="S31" s="202">
        <f t="shared" si="3"/>
        <v>3</v>
      </c>
      <c r="T31" s="151"/>
      <c r="U31" s="152"/>
      <c r="V31" s="152"/>
      <c r="W31" s="147"/>
      <c r="X31" s="96"/>
    </row>
    <row r="32" spans="2:24" ht="16.8" thickTop="1" thickBot="1" x14ac:dyDescent="0.35">
      <c r="B32" s="469" t="s">
        <v>107</v>
      </c>
      <c r="C32" s="469"/>
      <c r="D32" s="469"/>
      <c r="E32" s="469"/>
      <c r="F32" s="469"/>
      <c r="G32" s="469"/>
      <c r="H32" s="469"/>
      <c r="I32" s="319">
        <f>SUM(I22:I31)*-1</f>
        <v>-26</v>
      </c>
      <c r="J32" s="318">
        <f>I32*-1</f>
        <v>26</v>
      </c>
      <c r="K32" s="317"/>
      <c r="L32" s="474" t="s">
        <v>107</v>
      </c>
      <c r="M32" s="474"/>
      <c r="N32" s="474"/>
      <c r="O32" s="474"/>
      <c r="P32" s="474"/>
      <c r="Q32" s="474"/>
      <c r="R32" s="474"/>
      <c r="S32" s="204">
        <f>SUM(S22:S31)</f>
        <v>29</v>
      </c>
      <c r="T32" s="154">
        <f>S32</f>
        <v>29</v>
      </c>
      <c r="U32" s="146">
        <f>(S32*$K$38)/$M$38</f>
        <v>100</v>
      </c>
      <c r="W32" s="147">
        <f>(I32*$K$39)/$M$39</f>
        <v>-8.9655172413793096</v>
      </c>
    </row>
    <row r="33" spans="2:20" ht="9" customHeight="1" thickTop="1" x14ac:dyDescent="0.25">
      <c r="B33" s="311"/>
      <c r="C33" s="311"/>
      <c r="D33" s="311"/>
      <c r="E33" s="311"/>
      <c r="F33" s="311"/>
      <c r="G33" s="311"/>
      <c r="H33" s="311"/>
      <c r="I33" s="311"/>
      <c r="J33" s="311"/>
      <c r="K33" s="315"/>
      <c r="L33" s="311"/>
      <c r="M33" s="311"/>
      <c r="N33" s="311"/>
      <c r="O33" s="311"/>
      <c r="P33" s="311"/>
      <c r="Q33" s="311"/>
      <c r="R33" s="311"/>
      <c r="S33" s="101"/>
      <c r="T33" s="157"/>
    </row>
    <row r="34" spans="2:20" ht="15" customHeight="1" thickBot="1" x14ac:dyDescent="0.3">
      <c r="B34" s="311"/>
      <c r="C34" s="311"/>
      <c r="D34" s="311"/>
      <c r="E34" s="311"/>
      <c r="F34" s="311"/>
      <c r="G34" s="311"/>
      <c r="H34" s="311"/>
      <c r="I34" s="311"/>
      <c r="J34" s="311"/>
      <c r="K34" s="315"/>
      <c r="L34" s="311"/>
      <c r="M34" s="311"/>
      <c r="N34" s="311"/>
      <c r="O34" s="311"/>
      <c r="P34" s="311"/>
      <c r="Q34" s="311"/>
      <c r="R34" s="311"/>
      <c r="S34" s="101"/>
      <c r="T34" s="157"/>
    </row>
    <row r="35" spans="2:20" ht="15" customHeight="1" thickTop="1" x14ac:dyDescent="0.25">
      <c r="B35" s="466" t="s">
        <v>176</v>
      </c>
      <c r="C35" s="467"/>
      <c r="D35" s="467"/>
      <c r="E35" s="467"/>
      <c r="F35" s="468"/>
      <c r="G35" s="311"/>
      <c r="H35" s="311"/>
      <c r="I35" s="311"/>
      <c r="J35" s="311"/>
      <c r="K35" s="315"/>
      <c r="L35" s="470" t="s">
        <v>110</v>
      </c>
      <c r="M35" s="470"/>
      <c r="N35" s="470"/>
      <c r="O35" s="311"/>
      <c r="P35" s="311"/>
      <c r="Q35" s="311"/>
      <c r="R35" s="311"/>
      <c r="S35" s="101"/>
      <c r="T35" s="157"/>
    </row>
    <row r="36" spans="2:20" ht="15" customHeight="1" x14ac:dyDescent="0.25">
      <c r="B36" s="471" t="s">
        <v>35</v>
      </c>
      <c r="C36" s="470"/>
      <c r="D36" s="470" t="s">
        <v>40</v>
      </c>
      <c r="E36" s="470"/>
      <c r="F36" s="472"/>
      <c r="G36" s="311"/>
      <c r="H36" s="311"/>
      <c r="I36" s="311"/>
      <c r="J36" s="311"/>
      <c r="K36" s="315"/>
      <c r="L36" s="105" t="s">
        <v>79</v>
      </c>
      <c r="M36" s="106" t="s">
        <v>270</v>
      </c>
      <c r="N36" s="107">
        <f>O36</f>
        <v>3.448275862068968</v>
      </c>
      <c r="O36" s="316">
        <f>U32+U19</f>
        <v>3.448275862068968</v>
      </c>
      <c r="P36" s="311"/>
      <c r="Q36" s="311"/>
      <c r="R36" s="311"/>
      <c r="S36" s="101"/>
      <c r="T36" s="157"/>
    </row>
    <row r="37" spans="2:20" ht="30.75" customHeight="1" x14ac:dyDescent="0.25">
      <c r="B37" s="456" t="s">
        <v>37</v>
      </c>
      <c r="C37" s="457"/>
      <c r="D37" s="457" t="s">
        <v>42</v>
      </c>
      <c r="E37" s="457"/>
      <c r="F37" s="473"/>
      <c r="G37" s="311"/>
      <c r="H37" s="311"/>
      <c r="I37" s="158"/>
      <c r="J37" s="158"/>
      <c r="K37" s="159"/>
      <c r="L37" s="108" t="s">
        <v>75</v>
      </c>
      <c r="M37" s="109" t="s">
        <v>269</v>
      </c>
      <c r="N37" s="110">
        <f>O37</f>
        <v>1.0344827586206904</v>
      </c>
      <c r="O37" s="314">
        <f>W19+W32</f>
        <v>1.0344827586206904</v>
      </c>
      <c r="P37" s="311"/>
      <c r="Q37" s="311"/>
      <c r="R37" s="311"/>
      <c r="S37" s="101"/>
      <c r="T37" s="157"/>
    </row>
    <row r="38" spans="2:20" ht="52.5" customHeight="1" x14ac:dyDescent="0.25">
      <c r="B38" s="456" t="s">
        <v>38</v>
      </c>
      <c r="C38" s="457"/>
      <c r="D38" s="458" t="s">
        <v>43</v>
      </c>
      <c r="E38" s="458"/>
      <c r="F38" s="459"/>
      <c r="G38" s="311"/>
      <c r="H38" s="311"/>
      <c r="I38" s="160"/>
      <c r="J38" s="160"/>
      <c r="K38" s="161">
        <v>100</v>
      </c>
      <c r="L38" s="314" t="s">
        <v>79</v>
      </c>
      <c r="M38" s="313">
        <f>MAX(T9:T32)</f>
        <v>29</v>
      </c>
      <c r="N38" s="312"/>
      <c r="O38" s="160"/>
      <c r="P38" s="311"/>
      <c r="Q38" s="311"/>
      <c r="R38" s="311"/>
      <c r="S38" s="101"/>
      <c r="T38" s="157"/>
    </row>
    <row r="39" spans="2:20" ht="33.75" customHeight="1" thickBot="1" x14ac:dyDescent="0.3">
      <c r="B39" s="460" t="s">
        <v>39</v>
      </c>
      <c r="C39" s="461"/>
      <c r="D39" s="461" t="s">
        <v>44</v>
      </c>
      <c r="E39" s="461"/>
      <c r="F39" s="462"/>
      <c r="G39" s="311"/>
      <c r="H39" s="311"/>
      <c r="I39" s="160"/>
      <c r="J39" s="160"/>
      <c r="K39" s="315">
        <v>10</v>
      </c>
      <c r="L39" s="314" t="s">
        <v>75</v>
      </c>
      <c r="M39" s="313">
        <f>MAX(J9:J32)</f>
        <v>29</v>
      </c>
      <c r="N39" s="312"/>
      <c r="O39" s="160"/>
      <c r="P39" s="311"/>
      <c r="Q39" s="311"/>
      <c r="R39" s="311"/>
      <c r="S39" s="101"/>
      <c r="T39" s="157"/>
    </row>
    <row r="40" spans="2:20" ht="15" customHeight="1" thickTop="1" x14ac:dyDescent="0.25">
      <c r="B40" s="193"/>
      <c r="C40" s="193"/>
      <c r="D40" s="193"/>
      <c r="E40" s="193"/>
      <c r="F40" s="193"/>
      <c r="G40" s="102"/>
      <c r="H40" s="102"/>
      <c r="I40" s="102"/>
      <c r="J40" s="102"/>
      <c r="L40" s="102"/>
      <c r="M40" s="102"/>
      <c r="N40" s="102"/>
      <c r="O40" s="102"/>
      <c r="P40" s="102"/>
      <c r="Q40" s="102"/>
      <c r="R40" s="102"/>
      <c r="S40" s="102"/>
    </row>
    <row r="41" spans="2:20" ht="15" customHeight="1" x14ac:dyDescent="0.25">
      <c r="B41" s="102"/>
      <c r="C41" s="102"/>
      <c r="D41" s="102"/>
      <c r="E41" s="102"/>
      <c r="F41" s="102"/>
      <c r="G41" s="102"/>
      <c r="H41" s="102"/>
      <c r="I41" s="102"/>
      <c r="J41" s="102"/>
      <c r="L41" s="102"/>
      <c r="M41" s="102"/>
      <c r="N41" s="102"/>
      <c r="O41" s="102"/>
      <c r="P41" s="102"/>
      <c r="Q41" s="102"/>
      <c r="R41" s="102"/>
      <c r="S41" s="102"/>
    </row>
    <row r="42" spans="2:20" x14ac:dyDescent="0.25">
      <c r="B42" s="102"/>
      <c r="C42" s="102"/>
      <c r="D42" s="102"/>
      <c r="E42" s="102"/>
      <c r="F42" s="102"/>
      <c r="G42" s="102"/>
      <c r="H42" s="102"/>
      <c r="I42" s="102"/>
      <c r="J42" s="102"/>
      <c r="L42" s="102"/>
      <c r="M42" s="102"/>
      <c r="N42" s="102"/>
      <c r="O42" s="102"/>
      <c r="P42" s="102"/>
      <c r="Q42" s="102"/>
      <c r="R42" s="102"/>
      <c r="S42" s="102"/>
    </row>
    <row r="43" spans="2:20" x14ac:dyDescent="0.25">
      <c r="B43" s="102"/>
      <c r="C43" s="102"/>
      <c r="D43" s="102"/>
      <c r="E43" s="102"/>
      <c r="F43" s="102"/>
      <c r="G43" s="102"/>
      <c r="H43" s="102"/>
      <c r="I43" s="102"/>
      <c r="J43" s="102"/>
      <c r="L43" s="102"/>
      <c r="M43" s="102"/>
      <c r="N43" s="102"/>
      <c r="O43" s="102"/>
      <c r="P43" s="102"/>
      <c r="Q43" s="102"/>
      <c r="R43" s="102"/>
      <c r="S43" s="102"/>
    </row>
    <row r="44" spans="2:20" x14ac:dyDescent="0.25">
      <c r="B44" s="102"/>
      <c r="C44" s="102"/>
      <c r="D44" s="102"/>
      <c r="E44" s="102"/>
      <c r="F44" s="102"/>
      <c r="G44" s="102"/>
      <c r="H44" s="102"/>
      <c r="I44" s="102"/>
      <c r="J44" s="102"/>
      <c r="L44" s="102"/>
      <c r="M44" s="102"/>
      <c r="N44" s="102"/>
      <c r="O44" s="102"/>
      <c r="P44" s="102"/>
      <c r="Q44" s="102"/>
      <c r="R44" s="102"/>
      <c r="S44" s="102"/>
    </row>
    <row r="45" spans="2:20" ht="15" customHeight="1" x14ac:dyDescent="0.25">
      <c r="B45" s="102"/>
      <c r="C45" s="102"/>
      <c r="D45" s="102"/>
      <c r="E45" s="102"/>
      <c r="F45" s="102"/>
      <c r="G45" s="102"/>
      <c r="H45" s="102"/>
      <c r="I45" s="102"/>
      <c r="J45" s="102"/>
      <c r="L45" s="102"/>
      <c r="M45" s="102"/>
      <c r="N45" s="102"/>
      <c r="O45" s="102"/>
      <c r="P45" s="102"/>
      <c r="Q45" s="102"/>
      <c r="R45" s="102"/>
      <c r="S45" s="102"/>
    </row>
    <row r="46" spans="2:20" ht="15" customHeight="1" x14ac:dyDescent="0.25">
      <c r="B46" s="102"/>
      <c r="C46" s="102"/>
      <c r="D46" s="102"/>
      <c r="E46" s="102"/>
      <c r="F46" s="102"/>
      <c r="G46" s="102"/>
      <c r="H46" s="102"/>
      <c r="I46" s="102"/>
      <c r="J46" s="102"/>
      <c r="L46" s="102"/>
      <c r="M46" s="102"/>
      <c r="N46" s="102"/>
      <c r="O46" s="102"/>
      <c r="P46" s="102"/>
      <c r="Q46" s="102"/>
      <c r="R46" s="102"/>
      <c r="S46" s="102"/>
    </row>
    <row r="47" spans="2:20" ht="15" customHeight="1" x14ac:dyDescent="0.25">
      <c r="B47" s="102"/>
      <c r="C47" s="102"/>
      <c r="D47" s="102"/>
      <c r="E47" s="102"/>
      <c r="F47" s="102"/>
      <c r="G47" s="102"/>
      <c r="H47" s="102"/>
      <c r="I47" s="102"/>
      <c r="J47" s="102"/>
      <c r="L47" s="102"/>
      <c r="M47" s="102"/>
      <c r="N47" s="102"/>
      <c r="O47" s="102"/>
      <c r="P47" s="102"/>
      <c r="Q47" s="102"/>
      <c r="R47" s="102"/>
      <c r="S47" s="102"/>
    </row>
    <row r="48" spans="2:20" ht="15" customHeight="1" x14ac:dyDescent="0.25">
      <c r="B48" s="102"/>
      <c r="C48" s="102"/>
      <c r="D48" s="102"/>
      <c r="E48" s="102"/>
      <c r="F48" s="102"/>
      <c r="G48" s="102"/>
      <c r="H48" s="102"/>
      <c r="I48" s="102"/>
      <c r="J48" s="102"/>
      <c r="L48" s="102"/>
      <c r="M48" s="102"/>
      <c r="N48" s="102"/>
      <c r="O48" s="102"/>
      <c r="P48" s="102"/>
      <c r="Q48" s="102"/>
      <c r="R48" s="102"/>
      <c r="S48" s="102"/>
    </row>
    <row r="49" spans="2:19" ht="15" customHeight="1" x14ac:dyDescent="0.25">
      <c r="B49" s="102"/>
      <c r="C49" s="102"/>
      <c r="D49" s="102"/>
      <c r="E49" s="102"/>
      <c r="F49" s="102"/>
      <c r="G49" s="102"/>
      <c r="H49" s="102"/>
      <c r="I49" s="102"/>
      <c r="J49" s="102"/>
      <c r="L49" s="102"/>
      <c r="M49" s="102"/>
      <c r="N49" s="102"/>
      <c r="O49" s="102"/>
      <c r="P49" s="102"/>
      <c r="Q49" s="102"/>
      <c r="R49" s="102"/>
      <c r="S49" s="102"/>
    </row>
    <row r="50" spans="2:19" ht="15" customHeight="1" x14ac:dyDescent="0.25"/>
    <row r="53" spans="2:19" ht="15" customHeight="1" x14ac:dyDescent="0.25"/>
    <row r="54" spans="2:19" ht="15" customHeight="1" x14ac:dyDescent="0.25">
      <c r="D54" s="103"/>
      <c r="E54" s="104"/>
      <c r="F54" s="104"/>
      <c r="G54" s="104"/>
      <c r="H54" s="104"/>
      <c r="I54" s="104"/>
      <c r="J54" s="104"/>
      <c r="K54" s="115"/>
      <c r="L54" s="104"/>
      <c r="M54" s="104"/>
    </row>
    <row r="55" spans="2:19" ht="15" customHeight="1" x14ac:dyDescent="0.25">
      <c r="D55" s="104"/>
      <c r="E55" s="104"/>
      <c r="F55" s="104"/>
      <c r="G55" s="104"/>
      <c r="H55" s="104"/>
      <c r="I55" s="104"/>
      <c r="J55" s="104"/>
      <c r="K55" s="115"/>
      <c r="L55" s="104"/>
      <c r="M55" s="104"/>
    </row>
    <row r="56" spans="2:19" ht="15" customHeight="1" x14ac:dyDescent="0.25">
      <c r="D56" s="104"/>
      <c r="E56" s="104"/>
      <c r="F56" s="104"/>
      <c r="G56" s="104"/>
      <c r="H56" s="104"/>
      <c r="I56" s="104"/>
      <c r="J56" s="104"/>
      <c r="K56" s="115"/>
      <c r="L56" s="104"/>
      <c r="M56" s="104"/>
    </row>
    <row r="57" spans="2:19" ht="15" customHeight="1" x14ac:dyDescent="0.25">
      <c r="D57" s="104"/>
      <c r="E57" s="104"/>
      <c r="F57" s="104"/>
      <c r="G57" s="104"/>
      <c r="H57" s="104"/>
      <c r="I57" s="104"/>
      <c r="J57" s="104"/>
      <c r="K57" s="115"/>
      <c r="L57" s="104"/>
      <c r="M57" s="104"/>
    </row>
    <row r="58" spans="2:19" ht="15" customHeight="1" x14ac:dyDescent="0.25">
      <c r="D58" s="104"/>
      <c r="E58" s="104"/>
      <c r="F58" s="104"/>
      <c r="G58" s="104"/>
      <c r="H58" s="104"/>
      <c r="I58" s="104"/>
      <c r="J58" s="104"/>
      <c r="K58" s="115"/>
      <c r="L58" s="104"/>
      <c r="M58" s="104"/>
    </row>
  </sheetData>
  <mergeCells count="65">
    <mergeCell ref="A1:B6"/>
    <mergeCell ref="C1:S2"/>
    <mergeCell ref="X1:Y2"/>
    <mergeCell ref="C3:S4"/>
    <mergeCell ref="X3:Y4"/>
    <mergeCell ref="C5:S6"/>
    <mergeCell ref="X5:Y6"/>
    <mergeCell ref="B7:E7"/>
    <mergeCell ref="L7:O7"/>
    <mergeCell ref="B9:E9"/>
    <mergeCell ref="L9:O9"/>
    <mergeCell ref="B10:E10"/>
    <mergeCell ref="L10:O10"/>
    <mergeCell ref="B11:E11"/>
    <mergeCell ref="L11:O11"/>
    <mergeCell ref="B12:E12"/>
    <mergeCell ref="L12:O12"/>
    <mergeCell ref="B13:E13"/>
    <mergeCell ref="L13:O13"/>
    <mergeCell ref="B14:E14"/>
    <mergeCell ref="L14:O14"/>
    <mergeCell ref="B15:E15"/>
    <mergeCell ref="L15:O15"/>
    <mergeCell ref="B16:E16"/>
    <mergeCell ref="L16:O16"/>
    <mergeCell ref="B19:H19"/>
    <mergeCell ref="L19:R19"/>
    <mergeCell ref="B17:E17"/>
    <mergeCell ref="L17:O17"/>
    <mergeCell ref="B18:E18"/>
    <mergeCell ref="L18:O18"/>
    <mergeCell ref="B21:E21"/>
    <mergeCell ref="L21:O21"/>
    <mergeCell ref="B22:E22"/>
    <mergeCell ref="L22:O22"/>
    <mergeCell ref="B23:E23"/>
    <mergeCell ref="L23:O23"/>
    <mergeCell ref="B24:E24"/>
    <mergeCell ref="L24:O24"/>
    <mergeCell ref="B25:E25"/>
    <mergeCell ref="L25:O25"/>
    <mergeCell ref="B26:E26"/>
    <mergeCell ref="L26:O26"/>
    <mergeCell ref="L32:R32"/>
    <mergeCell ref="B27:E27"/>
    <mergeCell ref="L27:O27"/>
    <mergeCell ref="B28:E28"/>
    <mergeCell ref="L28:O28"/>
    <mergeCell ref="B29:E29"/>
    <mergeCell ref="L29:O29"/>
    <mergeCell ref="B30:E30"/>
    <mergeCell ref="L30:O30"/>
    <mergeCell ref="L31:O31"/>
    <mergeCell ref="L35:N35"/>
    <mergeCell ref="B36:C36"/>
    <mergeCell ref="D36:F36"/>
    <mergeCell ref="B37:C37"/>
    <mergeCell ref="D37:F37"/>
    <mergeCell ref="B38:C38"/>
    <mergeCell ref="D38:F38"/>
    <mergeCell ref="B39:C39"/>
    <mergeCell ref="D39:F39"/>
    <mergeCell ref="B31:E31"/>
    <mergeCell ref="B35:F35"/>
    <mergeCell ref="B32:H32"/>
  </mergeCells>
  <conditionalFormatting sqref="B19 P9:T18 F9:J18">
    <cfRule type="cellIs" dxfId="86" priority="14" operator="equal">
      <formula>0</formula>
    </cfRule>
  </conditionalFormatting>
  <conditionalFormatting sqref="B22:E22 B23:B31">
    <cfRule type="cellIs" dxfId="85" priority="13" operator="equal">
      <formula>0</formula>
    </cfRule>
  </conditionalFormatting>
  <conditionalFormatting sqref="B32">
    <cfRule type="cellIs" dxfId="84" priority="12" operator="equal">
      <formula>0</formula>
    </cfRule>
  </conditionalFormatting>
  <conditionalFormatting sqref="F22:H31">
    <cfRule type="cellIs" dxfId="83" priority="11" operator="equal">
      <formula>0</formula>
    </cfRule>
  </conditionalFormatting>
  <conditionalFormatting sqref="S22:T31">
    <cfRule type="cellIs" dxfId="82" priority="7" operator="equal">
      <formula>0</formula>
    </cfRule>
  </conditionalFormatting>
  <conditionalFormatting sqref="I22:J31">
    <cfRule type="cellIs" dxfId="81" priority="10" operator="equal">
      <formula>0</formula>
    </cfRule>
  </conditionalFormatting>
  <conditionalFormatting sqref="P30:R31">
    <cfRule type="cellIs" dxfId="80" priority="9" operator="equal">
      <formula>0</formula>
    </cfRule>
  </conditionalFormatting>
  <conditionalFormatting sqref="P22:R29">
    <cfRule type="cellIs" dxfId="79" priority="8" operator="equal">
      <formula>0</formula>
    </cfRule>
  </conditionalFormatting>
  <conditionalFormatting sqref="L22:L26">
    <cfRule type="cellIs" dxfId="78" priority="4" operator="equal">
      <formula>0</formula>
    </cfRule>
  </conditionalFormatting>
  <conditionalFormatting sqref="B9:E18">
    <cfRule type="cellIs" dxfId="77" priority="6" operator="equal">
      <formula>0</formula>
    </cfRule>
  </conditionalFormatting>
  <conditionalFormatting sqref="L30:O31">
    <cfRule type="cellIs" dxfId="76" priority="5" operator="equal">
      <formula>0</formula>
    </cfRule>
  </conditionalFormatting>
  <conditionalFormatting sqref="L28">
    <cfRule type="cellIs" dxfId="75" priority="2" operator="equal">
      <formula>0</formula>
    </cfRule>
  </conditionalFormatting>
  <conditionalFormatting sqref="L27:O27">
    <cfRule type="cellIs" dxfId="74" priority="1" operator="equal">
      <formula>0</formula>
    </cfRule>
  </conditionalFormatting>
  <dataValidations disablePrompts="1" count="1">
    <dataValidation operator="equal" allowBlank="1" showInputMessage="1" showErrorMessage="1" sqref="S9:T18 S22:T31" xr:uid="{00000000-0002-0000-0500-000000000000}"/>
  </dataValidations>
  <printOptions horizontalCentered="1"/>
  <pageMargins left="0.7" right="0.7" top="0.75" bottom="0.75" header="0.3" footer="0.3"/>
  <pageSetup scale="31"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R38"/>
  <sheetViews>
    <sheetView tabSelected="1" zoomScale="50" zoomScaleNormal="50" zoomScaleSheetLayoutView="90" zoomScalePageLayoutView="60" workbookViewId="0">
      <selection activeCell="BP21" sqref="BP21"/>
    </sheetView>
  </sheetViews>
  <sheetFormatPr baseColWidth="10" defaultColWidth="2.6640625" defaultRowHeight="13.8" x14ac:dyDescent="0.25"/>
  <cols>
    <col min="1" max="1" width="17.88671875" style="102" customWidth="1"/>
    <col min="2" max="2" width="3.5546875" style="190" customWidth="1"/>
    <col min="3" max="14" width="3.6640625" style="190" customWidth="1"/>
    <col min="15" max="15" width="3.88671875" style="190" customWidth="1"/>
    <col min="16" max="25" width="3.6640625" style="190" customWidth="1"/>
    <col min="26" max="26" width="4.109375" style="190" customWidth="1"/>
    <col min="27" max="27" width="2.6640625" style="95"/>
    <col min="28" max="28" width="23.109375" style="95" customWidth="1"/>
    <col min="29" max="62" width="2.6640625" style="95"/>
    <col min="63" max="63" width="15" style="95" customWidth="1"/>
    <col min="64" max="64" width="20" style="95" customWidth="1"/>
    <col min="65" max="65" width="2.6640625" style="95"/>
    <col min="66" max="66" width="16.6640625" style="102" hidden="1" customWidth="1"/>
    <col min="67" max="67" width="3.44140625" style="95" customWidth="1"/>
    <col min="68" max="68" width="12.6640625" style="95" customWidth="1"/>
    <col min="69" max="69" width="6.109375" style="95" customWidth="1"/>
    <col min="70" max="70" width="2.33203125" style="95" hidden="1" customWidth="1"/>
    <col min="71" max="89" width="0" style="102" hidden="1" customWidth="1"/>
    <col min="90" max="16384" width="2.6640625" style="102"/>
  </cols>
  <sheetData>
    <row r="1" spans="1:70" s="216" customFormat="1" ht="30" customHeight="1" thickBot="1" x14ac:dyDescent="0.35">
      <c r="A1" s="535"/>
      <c r="B1" s="535"/>
      <c r="C1" s="535"/>
      <c r="D1" s="535"/>
      <c r="E1" s="535"/>
      <c r="F1" s="535"/>
      <c r="G1" s="535"/>
      <c r="H1" s="535"/>
      <c r="I1" s="535"/>
      <c r="J1" s="536" t="s">
        <v>402</v>
      </c>
      <c r="K1" s="536"/>
      <c r="L1" s="536"/>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c r="AN1" s="536"/>
      <c r="AO1" s="536"/>
      <c r="AP1" s="536"/>
      <c r="AQ1" s="536"/>
      <c r="AR1" s="536"/>
      <c r="AS1" s="536"/>
      <c r="AT1" s="536"/>
      <c r="AU1" s="536"/>
      <c r="AV1" s="536"/>
      <c r="AW1" s="536"/>
      <c r="AX1" s="536"/>
      <c r="AY1" s="536"/>
      <c r="AZ1" s="536"/>
      <c r="BA1" s="536"/>
      <c r="BB1" s="536"/>
      <c r="BC1" s="536"/>
      <c r="BD1" s="536"/>
      <c r="BE1" s="536"/>
      <c r="BF1" s="536"/>
      <c r="BG1" s="536"/>
      <c r="BH1" s="536"/>
      <c r="BI1" s="536"/>
      <c r="BJ1" s="536"/>
      <c r="BK1" s="536"/>
      <c r="BL1" s="537" t="s">
        <v>340</v>
      </c>
      <c r="BM1" s="537"/>
      <c r="BN1" s="537"/>
      <c r="BO1" s="537"/>
      <c r="BP1" s="537"/>
      <c r="BQ1" s="537"/>
    </row>
    <row r="2" spans="1:70" s="216" customFormat="1" ht="18" customHeight="1" thickBot="1" x14ac:dyDescent="0.35">
      <c r="A2" s="535"/>
      <c r="B2" s="535"/>
      <c r="C2" s="535"/>
      <c r="D2" s="535"/>
      <c r="E2" s="535"/>
      <c r="F2" s="535"/>
      <c r="G2" s="535"/>
      <c r="H2" s="535"/>
      <c r="I2" s="535"/>
      <c r="J2" s="536"/>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7"/>
      <c r="BM2" s="537"/>
      <c r="BN2" s="537"/>
      <c r="BO2" s="537"/>
      <c r="BP2" s="537"/>
      <c r="BQ2" s="537"/>
    </row>
    <row r="3" spans="1:70" s="216" customFormat="1" ht="30" customHeight="1" thickBot="1" x14ac:dyDescent="0.35">
      <c r="A3" s="535"/>
      <c r="B3" s="535"/>
      <c r="C3" s="535"/>
      <c r="D3" s="535"/>
      <c r="E3" s="535"/>
      <c r="F3" s="535"/>
      <c r="G3" s="535"/>
      <c r="H3" s="535"/>
      <c r="I3" s="535"/>
      <c r="J3" s="538" t="s">
        <v>177</v>
      </c>
      <c r="K3" s="536"/>
      <c r="L3" s="536"/>
      <c r="M3" s="536"/>
      <c r="N3" s="536"/>
      <c r="O3" s="536"/>
      <c r="P3" s="536"/>
      <c r="Q3" s="536"/>
      <c r="R3" s="536"/>
      <c r="S3" s="536"/>
      <c r="T3" s="536"/>
      <c r="U3" s="536"/>
      <c r="V3" s="536"/>
      <c r="W3" s="536"/>
      <c r="X3" s="536"/>
      <c r="Y3" s="536"/>
      <c r="Z3" s="536"/>
      <c r="AA3" s="536"/>
      <c r="AB3" s="536"/>
      <c r="AC3" s="536"/>
      <c r="AD3" s="536"/>
      <c r="AE3" s="536"/>
      <c r="AF3" s="536"/>
      <c r="AG3" s="536"/>
      <c r="AH3" s="536"/>
      <c r="AI3" s="536"/>
      <c r="AJ3" s="536"/>
      <c r="AK3" s="536"/>
      <c r="AL3" s="536"/>
      <c r="AM3" s="536"/>
      <c r="AN3" s="536"/>
      <c r="AO3" s="536"/>
      <c r="AP3" s="536"/>
      <c r="AQ3" s="536"/>
      <c r="AR3" s="536"/>
      <c r="AS3" s="536"/>
      <c r="AT3" s="536"/>
      <c r="AU3" s="536"/>
      <c r="AV3" s="536"/>
      <c r="AW3" s="536"/>
      <c r="AX3" s="536"/>
      <c r="AY3" s="536"/>
      <c r="AZ3" s="536"/>
      <c r="BA3" s="536"/>
      <c r="BB3" s="536"/>
      <c r="BC3" s="536"/>
      <c r="BD3" s="536"/>
      <c r="BE3" s="536"/>
      <c r="BF3" s="536"/>
      <c r="BG3" s="536"/>
      <c r="BH3" s="536"/>
      <c r="BI3" s="536"/>
      <c r="BJ3" s="536"/>
      <c r="BK3" s="536"/>
      <c r="BL3" s="539" t="s">
        <v>183</v>
      </c>
      <c r="BM3" s="539"/>
      <c r="BN3" s="539"/>
      <c r="BO3" s="539"/>
      <c r="BP3" s="539"/>
      <c r="BQ3" s="539"/>
    </row>
    <row r="4" spans="1:70" s="216" customFormat="1" ht="30" customHeight="1" thickBot="1" x14ac:dyDescent="0.35">
      <c r="A4" s="535"/>
      <c r="B4" s="535"/>
      <c r="C4" s="535"/>
      <c r="D4" s="535"/>
      <c r="E4" s="535"/>
      <c r="F4" s="535"/>
      <c r="G4" s="535"/>
      <c r="H4" s="535"/>
      <c r="I4" s="535"/>
      <c r="J4" s="536"/>
      <c r="K4" s="536"/>
      <c r="L4" s="536"/>
      <c r="M4" s="536"/>
      <c r="N4" s="536"/>
      <c r="O4" s="536"/>
      <c r="P4" s="536"/>
      <c r="Q4" s="536"/>
      <c r="R4" s="536"/>
      <c r="S4" s="536"/>
      <c r="T4" s="536"/>
      <c r="U4" s="536"/>
      <c r="V4" s="536"/>
      <c r="W4" s="536"/>
      <c r="X4" s="536"/>
      <c r="Y4" s="536"/>
      <c r="Z4" s="536"/>
      <c r="AA4" s="536"/>
      <c r="AB4" s="536"/>
      <c r="AC4" s="536"/>
      <c r="AD4" s="536"/>
      <c r="AE4" s="536"/>
      <c r="AF4" s="536"/>
      <c r="AG4" s="536"/>
      <c r="AH4" s="536"/>
      <c r="AI4" s="536"/>
      <c r="AJ4" s="536"/>
      <c r="AK4" s="536"/>
      <c r="AL4" s="536"/>
      <c r="AM4" s="536"/>
      <c r="AN4" s="536"/>
      <c r="AO4" s="536"/>
      <c r="AP4" s="536"/>
      <c r="AQ4" s="536"/>
      <c r="AR4" s="536"/>
      <c r="AS4" s="536"/>
      <c r="AT4" s="536"/>
      <c r="AU4" s="536"/>
      <c r="AV4" s="536"/>
      <c r="AW4" s="536"/>
      <c r="AX4" s="536"/>
      <c r="AY4" s="536"/>
      <c r="AZ4" s="536"/>
      <c r="BA4" s="536"/>
      <c r="BB4" s="536"/>
      <c r="BC4" s="536"/>
      <c r="BD4" s="536"/>
      <c r="BE4" s="536"/>
      <c r="BF4" s="536"/>
      <c r="BG4" s="536"/>
      <c r="BH4" s="536"/>
      <c r="BI4" s="536"/>
      <c r="BJ4" s="536"/>
      <c r="BK4" s="536"/>
      <c r="BL4" s="539"/>
      <c r="BM4" s="539"/>
      <c r="BN4" s="539"/>
      <c r="BO4" s="539"/>
      <c r="BP4" s="539"/>
      <c r="BQ4" s="539"/>
    </row>
    <row r="5" spans="1:70" s="95" customFormat="1" ht="30" customHeight="1" thickBot="1" x14ac:dyDescent="0.3">
      <c r="A5" s="535"/>
      <c r="B5" s="535"/>
      <c r="C5" s="535"/>
      <c r="D5" s="535"/>
      <c r="E5" s="535"/>
      <c r="F5" s="535"/>
      <c r="G5" s="535"/>
      <c r="H5" s="535"/>
      <c r="I5" s="535"/>
      <c r="J5" s="540" t="s">
        <v>272</v>
      </c>
      <c r="K5" s="540"/>
      <c r="L5" s="540"/>
      <c r="M5" s="540"/>
      <c r="N5" s="540"/>
      <c r="O5" s="540"/>
      <c r="P5" s="540"/>
      <c r="Q5" s="540"/>
      <c r="R5" s="540"/>
      <c r="S5" s="540"/>
      <c r="T5" s="540"/>
      <c r="U5" s="540"/>
      <c r="V5" s="540"/>
      <c r="W5" s="540"/>
      <c r="X5" s="540"/>
      <c r="Y5" s="540"/>
      <c r="Z5" s="540"/>
      <c r="AA5" s="540"/>
      <c r="AB5" s="540"/>
      <c r="AC5" s="540"/>
      <c r="AD5" s="540"/>
      <c r="AE5" s="540"/>
      <c r="AF5" s="540"/>
      <c r="AG5" s="540"/>
      <c r="AH5" s="540"/>
      <c r="AI5" s="540"/>
      <c r="AJ5" s="540"/>
      <c r="AK5" s="540"/>
      <c r="AL5" s="540"/>
      <c r="AM5" s="540"/>
      <c r="AN5" s="540"/>
      <c r="AO5" s="540"/>
      <c r="AP5" s="540"/>
      <c r="AQ5" s="540"/>
      <c r="AR5" s="540"/>
      <c r="AS5" s="540"/>
      <c r="AT5" s="540"/>
      <c r="AU5" s="540"/>
      <c r="AV5" s="540"/>
      <c r="AW5" s="540"/>
      <c r="AX5" s="540"/>
      <c r="AY5" s="540"/>
      <c r="AZ5" s="540"/>
      <c r="BA5" s="540"/>
      <c r="BB5" s="540"/>
      <c r="BC5" s="540"/>
      <c r="BD5" s="540"/>
      <c r="BE5" s="540"/>
      <c r="BF5" s="540"/>
      <c r="BG5" s="540"/>
      <c r="BH5" s="540"/>
      <c r="BI5" s="540"/>
      <c r="BJ5" s="540"/>
      <c r="BK5" s="540"/>
      <c r="BL5" s="541">
        <v>44279</v>
      </c>
      <c r="BM5" s="541"/>
      <c r="BN5" s="541"/>
      <c r="BO5" s="541"/>
      <c r="BP5" s="541"/>
      <c r="BQ5" s="541"/>
    </row>
    <row r="6" spans="1:70" s="95" customFormat="1" ht="10.5" customHeight="1" thickBot="1" x14ac:dyDescent="0.3">
      <c r="A6" s="535"/>
      <c r="B6" s="535"/>
      <c r="C6" s="535"/>
      <c r="D6" s="535"/>
      <c r="E6" s="535"/>
      <c r="F6" s="535"/>
      <c r="G6" s="535"/>
      <c r="H6" s="535"/>
      <c r="I6" s="535"/>
      <c r="J6" s="540"/>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0"/>
      <c r="AP6" s="540"/>
      <c r="AQ6" s="540"/>
      <c r="AR6" s="540"/>
      <c r="AS6" s="540"/>
      <c r="AT6" s="540"/>
      <c r="AU6" s="540"/>
      <c r="AV6" s="540"/>
      <c r="AW6" s="540"/>
      <c r="AX6" s="540"/>
      <c r="AY6" s="540"/>
      <c r="AZ6" s="540"/>
      <c r="BA6" s="540"/>
      <c r="BB6" s="540"/>
      <c r="BC6" s="540"/>
      <c r="BD6" s="540"/>
      <c r="BE6" s="540"/>
      <c r="BF6" s="540"/>
      <c r="BG6" s="540"/>
      <c r="BH6" s="540"/>
      <c r="BI6" s="540"/>
      <c r="BJ6" s="540"/>
      <c r="BK6" s="540"/>
      <c r="BL6" s="541"/>
      <c r="BM6" s="541"/>
      <c r="BN6" s="541"/>
      <c r="BO6" s="541"/>
      <c r="BP6" s="541"/>
      <c r="BQ6" s="541"/>
    </row>
    <row r="9" spans="1:70" ht="17.399999999999999" x14ac:dyDescent="0.25">
      <c r="B9" s="502"/>
      <c r="C9" s="502"/>
      <c r="D9" s="502"/>
      <c r="E9" s="502"/>
      <c r="F9" s="502"/>
      <c r="G9" s="502"/>
      <c r="H9" s="502"/>
      <c r="I9" s="502"/>
      <c r="J9" s="502"/>
      <c r="K9" s="502"/>
      <c r="L9" s="502"/>
      <c r="M9" s="502"/>
      <c r="N9" s="502"/>
      <c r="O9" s="502"/>
      <c r="P9" s="502"/>
      <c r="Q9" s="502"/>
      <c r="R9" s="502"/>
      <c r="S9" s="502"/>
      <c r="T9" s="502"/>
      <c r="U9" s="502"/>
      <c r="V9" s="502"/>
      <c r="W9" s="502"/>
      <c r="X9" s="502"/>
      <c r="Y9" s="502"/>
      <c r="Z9" s="502"/>
      <c r="AB9" s="340" t="s">
        <v>112</v>
      </c>
      <c r="AC9" s="503" t="str">
        <f>IF(AND(AND(AU34&gt;=0,AU35&gt;=0),AND(AU34&lt;=3,AU35&lt;=6)),"A",IF(AND(AND(AU34&gt;=0,AU35&gt;6),AND(AU34&lt;=3,AU35&lt;=12)),"D",IF(AND(AND(AU34&gt;3,AU35&gt;=0),AND(AU34&lt;=6,AU35&lt;=6)),"B",IF(AND(AND(AU34&gt;3,AU35&gt;6),AND(AU34&lt;=6,AU35&lt;=12)),"C",IF(AND(AND(AU34&gt;=0,AU35&lt;0),AND(AU34&lt;=3,AU35&gt;=-6)),"A",IF(AND(AND(AU34&gt;=0,AU35&lt;-6),AND(AU34&lt;=3,AU35&gt;=-12)),"D",IF(AND(AND(AU34&gt;3,AU35&lt;0),AND(AU34&lt;=6,AU35&gt;=-6)),"B",IF(AND(AND(AU34&gt;3,AU35&lt;-6),AND(AU34&lt;=6,AU35&gt;=-12)),"C",IF(AND(AND(AU34&lt;0,AU35&gt;0),AND(AU34&gt;=-3,AU35&lt;=6)),"A",IF(AND(AND(AU34&lt;-3,AU35&gt;0),AND(AU34&gt;=-6,AU35&lt;=6)),"B",IF(AND(AND(AU34&lt;-3,AU35&gt;6),AND(AU34&gt;=-6,AU35&lt;=12)),"C",IF(AND(AND(AU34&lt;0,AU35&gt;6),AND(AU34&gt;=-3,AU35&lt;=12)),"D",IF(AND(AND(AU34&lt;0,AU35&lt;0),AND(AU34&gt;=-3,AU35&gt;=-6)),"A",IF(AND(AND(AU34&lt;-3,AU35&lt;0),AND(AU34&gt;=-6,AU35&gt;=-6)),"B",IF(AND(AND(AU34&lt;-3,AU35&lt;-6),AND(AU34&gt;=-6,AU35&gt;=-12)),"C",IF(AND(AND(AU34&lt;0,AU35&lt;-6),AND(AU34&gt;=-3,AU35&gt;=-12)),"D","error"))))))))))))))))</f>
        <v>B</v>
      </c>
      <c r="AD9" s="503"/>
      <c r="AE9" s="503"/>
      <c r="AF9" s="503"/>
      <c r="AG9" s="503"/>
      <c r="AH9" s="503"/>
      <c r="AI9" s="503"/>
      <c r="AJ9" s="503"/>
      <c r="AK9" s="503"/>
      <c r="AL9" s="503"/>
      <c r="AM9" s="503"/>
      <c r="AN9" s="503"/>
      <c r="AO9" s="503"/>
      <c r="AP9" s="503"/>
      <c r="AQ9" s="503"/>
      <c r="AR9" s="503"/>
      <c r="AS9" s="503"/>
      <c r="AT9" s="503"/>
      <c r="AU9" s="504" t="str">
        <f>IF(AND(AND(AU34&gt;=0,AU35&gt;=0),AND(AU34&lt;=6,AU35&lt;=12)),"Perfil Agresivo",IF(AND(AND(AU34&lt;0,AU35&gt;=0),AND(AU34&gt;=-6,AU35&lt;=12)),"Perfil Re Orientación",IF(AND(AND(AU34&lt;0,AU35&lt;0),AND(AU34&gt;=-6,AU35&gt;=-12)),"Perfil Defensivo",IF(AND(AND(AU34&gt;=0,AU35&lt;0),AND(AU34&lt;=6,AU35&gt;=-12)),"Perfil Supervivencia","Error"))))</f>
        <v>Perfil Agresivo</v>
      </c>
      <c r="AV9" s="504"/>
      <c r="AW9" s="504"/>
      <c r="AX9" s="504"/>
      <c r="AY9" s="504"/>
      <c r="AZ9" s="504"/>
      <c r="BA9" s="504"/>
      <c r="BB9" s="504"/>
      <c r="BC9" s="504"/>
      <c r="BD9" s="504"/>
      <c r="BE9" s="504"/>
      <c r="BF9" s="504"/>
      <c r="BG9" s="504"/>
      <c r="BH9" s="504"/>
      <c r="BI9" s="504"/>
      <c r="BJ9" s="504"/>
      <c r="BK9" s="504"/>
      <c r="BL9" s="504"/>
      <c r="BM9" s="504"/>
      <c r="BN9" s="95"/>
    </row>
    <row r="10" spans="1:70" ht="15.75" customHeight="1" x14ac:dyDescent="0.25">
      <c r="B10" s="505"/>
      <c r="C10" s="163"/>
      <c r="D10" s="164"/>
      <c r="E10" s="164"/>
      <c r="F10" s="164"/>
      <c r="G10" s="164"/>
      <c r="H10" s="164"/>
      <c r="I10" s="164"/>
      <c r="J10" s="164"/>
      <c r="K10" s="164"/>
      <c r="L10" s="164"/>
      <c r="M10" s="164"/>
      <c r="N10" s="164"/>
      <c r="O10" s="164"/>
      <c r="P10" s="164"/>
      <c r="Q10" s="164"/>
      <c r="R10" s="164"/>
      <c r="S10" s="164"/>
      <c r="T10" s="164"/>
      <c r="U10" s="164"/>
      <c r="V10" s="164"/>
      <c r="W10" s="164"/>
      <c r="X10" s="164"/>
      <c r="Y10" s="165"/>
      <c r="Z10" s="502"/>
      <c r="AB10" s="496" t="s">
        <v>113</v>
      </c>
      <c r="AC10" s="496"/>
      <c r="AD10" s="496"/>
      <c r="AE10" s="496"/>
      <c r="AF10" s="496"/>
      <c r="AG10" s="496"/>
      <c r="AH10" s="496"/>
      <c r="AI10" s="496"/>
      <c r="AJ10" s="496"/>
      <c r="AK10" s="496"/>
      <c r="AL10" s="496"/>
      <c r="AM10" s="496"/>
      <c r="AN10" s="496"/>
      <c r="AO10" s="496"/>
      <c r="AP10" s="496"/>
      <c r="AQ10" s="496"/>
      <c r="AR10" s="496"/>
      <c r="AS10" s="496"/>
      <c r="AT10" s="496"/>
      <c r="AU10" s="496"/>
      <c r="AV10" s="496"/>
      <c r="AW10" s="496"/>
      <c r="AX10" s="496"/>
      <c r="AY10" s="496"/>
      <c r="AZ10" s="496"/>
      <c r="BA10" s="496"/>
      <c r="BB10" s="496"/>
      <c r="BC10" s="496"/>
      <c r="BD10" s="496"/>
      <c r="BE10" s="496"/>
      <c r="BF10" s="496"/>
      <c r="BG10" s="496"/>
      <c r="BH10" s="496"/>
      <c r="BI10" s="496"/>
      <c r="BJ10" s="496"/>
      <c r="BK10" s="496"/>
      <c r="BL10" s="496"/>
      <c r="BM10" s="496"/>
      <c r="BO10" s="102"/>
      <c r="BP10" s="102"/>
      <c r="BQ10" s="102"/>
      <c r="BR10" s="102"/>
    </row>
    <row r="11" spans="1:70" ht="15.75" customHeight="1" x14ac:dyDescent="0.25">
      <c r="B11" s="505"/>
      <c r="C11" s="166"/>
      <c r="D11" s="167"/>
      <c r="E11" s="506" t="s">
        <v>145</v>
      </c>
      <c r="F11" s="507"/>
      <c r="G11" s="507"/>
      <c r="H11" s="507"/>
      <c r="I11" s="507"/>
      <c r="J11" s="507"/>
      <c r="K11" s="508"/>
      <c r="L11" s="167"/>
      <c r="M11" s="167"/>
      <c r="N11" s="501" t="s">
        <v>75</v>
      </c>
      <c r="O11" s="501"/>
      <c r="P11" s="167"/>
      <c r="Q11" s="167"/>
      <c r="R11" s="513" t="s">
        <v>76</v>
      </c>
      <c r="S11" s="514"/>
      <c r="T11" s="514"/>
      <c r="U11" s="514"/>
      <c r="V11" s="514"/>
      <c r="W11" s="514"/>
      <c r="X11" s="515"/>
      <c r="Y11" s="168"/>
      <c r="Z11" s="502"/>
      <c r="AB11" s="496"/>
      <c r="AC11" s="496"/>
      <c r="AD11" s="496"/>
      <c r="AE11" s="496"/>
      <c r="AF11" s="496"/>
      <c r="AG11" s="496"/>
      <c r="AH11" s="496"/>
      <c r="AI11" s="496"/>
      <c r="AJ11" s="496"/>
      <c r="AK11" s="496"/>
      <c r="AL11" s="496"/>
      <c r="AM11" s="496"/>
      <c r="AN11" s="496"/>
      <c r="AO11" s="496"/>
      <c r="AP11" s="496"/>
      <c r="AQ11" s="496"/>
      <c r="AR11" s="496"/>
      <c r="AS11" s="496"/>
      <c r="AT11" s="496"/>
      <c r="AU11" s="496"/>
      <c r="AV11" s="496"/>
      <c r="AW11" s="496"/>
      <c r="AX11" s="496"/>
      <c r="AY11" s="496"/>
      <c r="AZ11" s="496"/>
      <c r="BA11" s="496"/>
      <c r="BB11" s="496"/>
      <c r="BC11" s="496"/>
      <c r="BD11" s="496"/>
      <c r="BE11" s="496"/>
      <c r="BF11" s="496"/>
      <c r="BG11" s="496"/>
      <c r="BH11" s="496"/>
      <c r="BI11" s="496"/>
      <c r="BJ11" s="496"/>
      <c r="BK11" s="496"/>
      <c r="BL11" s="496"/>
      <c r="BM11" s="496"/>
      <c r="BO11" s="495"/>
      <c r="BP11" s="495"/>
      <c r="BQ11" s="495"/>
      <c r="BR11" s="495"/>
    </row>
    <row r="12" spans="1:70" ht="22.8" x14ac:dyDescent="0.25">
      <c r="B12" s="505"/>
      <c r="C12" s="166"/>
      <c r="D12" s="167"/>
      <c r="E12" s="509"/>
      <c r="F12" s="510"/>
      <c r="G12" s="510"/>
      <c r="H12" s="510"/>
      <c r="I12" s="510"/>
      <c r="J12" s="510"/>
      <c r="K12" s="511"/>
      <c r="L12" s="167"/>
      <c r="M12" s="167"/>
      <c r="N12" s="501"/>
      <c r="O12" s="512"/>
      <c r="P12" s="167"/>
      <c r="Q12" s="167"/>
      <c r="R12" s="516"/>
      <c r="S12" s="517"/>
      <c r="T12" s="517"/>
      <c r="U12" s="517"/>
      <c r="V12" s="517"/>
      <c r="W12" s="517"/>
      <c r="X12" s="518"/>
      <c r="Y12" s="168"/>
      <c r="Z12" s="502"/>
      <c r="AB12" s="496" t="s">
        <v>77</v>
      </c>
      <c r="AC12" s="496"/>
      <c r="AD12" s="496"/>
      <c r="AE12" s="496"/>
      <c r="AF12" s="496"/>
      <c r="AG12" s="496"/>
      <c r="AH12" s="496"/>
      <c r="AI12" s="496"/>
      <c r="AJ12" s="496"/>
      <c r="AK12" s="496"/>
      <c r="AL12" s="496"/>
      <c r="AM12" s="496"/>
      <c r="AN12" s="496"/>
      <c r="AO12" s="496"/>
      <c r="AP12" s="496"/>
      <c r="AQ12" s="496"/>
      <c r="AR12" s="496"/>
      <c r="AS12" s="496"/>
      <c r="AT12" s="496"/>
      <c r="AU12" s="496" t="s">
        <v>78</v>
      </c>
      <c r="AV12" s="496"/>
      <c r="AW12" s="496"/>
      <c r="AX12" s="496"/>
      <c r="AY12" s="496"/>
      <c r="AZ12" s="496"/>
      <c r="BA12" s="496"/>
      <c r="BB12" s="496"/>
      <c r="BC12" s="496"/>
      <c r="BD12" s="496"/>
      <c r="BE12" s="496"/>
      <c r="BF12" s="496"/>
      <c r="BG12" s="496"/>
      <c r="BH12" s="496"/>
      <c r="BI12" s="496"/>
      <c r="BJ12" s="496"/>
      <c r="BK12" s="496"/>
      <c r="BL12" s="496"/>
      <c r="BM12" s="496"/>
      <c r="BO12" s="495"/>
      <c r="BP12" s="495"/>
      <c r="BQ12" s="495"/>
      <c r="BR12" s="495"/>
    </row>
    <row r="13" spans="1:70" ht="15" customHeight="1" x14ac:dyDescent="0.25">
      <c r="B13" s="505"/>
      <c r="C13" s="166"/>
      <c r="D13" s="167"/>
      <c r="E13" s="167"/>
      <c r="F13" s="167"/>
      <c r="G13" s="167"/>
      <c r="H13" s="167"/>
      <c r="I13" s="167"/>
      <c r="J13" s="167"/>
      <c r="K13" s="167"/>
      <c r="L13" s="167"/>
      <c r="M13" s="167"/>
      <c r="N13" s="169"/>
      <c r="O13" s="170"/>
      <c r="P13" s="167"/>
      <c r="Q13" s="167"/>
      <c r="R13" s="167"/>
      <c r="S13" s="167"/>
      <c r="T13" s="167"/>
      <c r="U13" s="167"/>
      <c r="V13" s="167"/>
      <c r="W13" s="167"/>
      <c r="X13" s="167"/>
      <c r="Y13" s="168"/>
      <c r="Z13" s="502"/>
      <c r="AB13" s="497" t="str">
        <f>VLOOKUP(BR15,Perfiles!C3:D18,2,FALSE)</f>
        <v>PERFIL B): Alta competencia en una Institución sólida.</v>
      </c>
      <c r="AC13" s="497"/>
      <c r="AD13" s="497"/>
      <c r="AE13" s="497"/>
      <c r="AF13" s="497"/>
      <c r="AG13" s="497"/>
      <c r="AH13" s="497"/>
      <c r="AI13" s="497"/>
      <c r="AJ13" s="497"/>
      <c r="AK13" s="497"/>
      <c r="AL13" s="497"/>
      <c r="AM13" s="497"/>
      <c r="AN13" s="497"/>
      <c r="AO13" s="497"/>
      <c r="AP13" s="497"/>
      <c r="AQ13" s="497"/>
      <c r="AR13" s="497"/>
      <c r="AS13" s="497"/>
      <c r="AT13" s="497"/>
      <c r="AU13" s="498" t="str">
        <f>VLOOKUP(AB13,Perfiles!D3:E18,2,FALSE)</f>
        <v>Institución financieramente fuerte que ha obtenido ventajas competitivas importantes en una Institución sólida. 
Institución sólida en penetración del mercado y desarrollo del servicio.
Institución que cumple con altos estándares y procesos definidos por conveniencia propia más que por la Institución.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son óptimos y al Cliente externo son buenos. 
Institución con alto nivel de liderazgo y empoderamiento en las diferentes jerarquías de la misma. 
Institución con soportes internos y/o externos (perteneciente a un Grupo), que beneficia a la línea de productos y/o servicios a todas las partes interesadas.</v>
      </c>
      <c r="AV13" s="498"/>
      <c r="AW13" s="498"/>
      <c r="AX13" s="498"/>
      <c r="AY13" s="498"/>
      <c r="AZ13" s="498"/>
      <c r="BA13" s="498"/>
      <c r="BB13" s="498"/>
      <c r="BC13" s="498"/>
      <c r="BD13" s="498"/>
      <c r="BE13" s="498"/>
      <c r="BF13" s="498"/>
      <c r="BG13" s="498"/>
      <c r="BH13" s="498"/>
      <c r="BI13" s="498"/>
      <c r="BJ13" s="498"/>
      <c r="BK13" s="498"/>
      <c r="BL13" s="498"/>
      <c r="BM13" s="498"/>
      <c r="BO13" s="495"/>
      <c r="BP13" s="495"/>
      <c r="BQ13" s="495"/>
      <c r="BR13" s="495"/>
    </row>
    <row r="14" spans="1:70" ht="15" customHeight="1" x14ac:dyDescent="0.25">
      <c r="B14" s="505"/>
      <c r="C14" s="166"/>
      <c r="D14" s="167"/>
      <c r="E14" s="167"/>
      <c r="F14" s="167"/>
      <c r="G14" s="167"/>
      <c r="H14" s="167"/>
      <c r="I14" s="167"/>
      <c r="J14" s="167"/>
      <c r="K14" s="167"/>
      <c r="L14" s="167"/>
      <c r="M14" s="167"/>
      <c r="N14" s="169">
        <v>16</v>
      </c>
      <c r="O14" s="170"/>
      <c r="P14" s="167"/>
      <c r="Q14" s="167"/>
      <c r="R14" s="167"/>
      <c r="S14" s="167"/>
      <c r="T14" s="167"/>
      <c r="U14" s="167"/>
      <c r="V14" s="167"/>
      <c r="W14" s="167"/>
      <c r="X14" s="167"/>
      <c r="Y14" s="168"/>
      <c r="Z14" s="502"/>
      <c r="AB14" s="497"/>
      <c r="AC14" s="497"/>
      <c r="AD14" s="497"/>
      <c r="AE14" s="497"/>
      <c r="AF14" s="497"/>
      <c r="AG14" s="497"/>
      <c r="AH14" s="497"/>
      <c r="AI14" s="497"/>
      <c r="AJ14" s="497"/>
      <c r="AK14" s="497"/>
      <c r="AL14" s="497"/>
      <c r="AM14" s="497"/>
      <c r="AN14" s="497"/>
      <c r="AO14" s="497"/>
      <c r="AP14" s="497"/>
      <c r="AQ14" s="497"/>
      <c r="AR14" s="497"/>
      <c r="AS14" s="497"/>
      <c r="AT14" s="497"/>
      <c r="AU14" s="498"/>
      <c r="AV14" s="498"/>
      <c r="AW14" s="498"/>
      <c r="AX14" s="498"/>
      <c r="AY14" s="498"/>
      <c r="AZ14" s="498"/>
      <c r="BA14" s="498"/>
      <c r="BB14" s="498"/>
      <c r="BC14" s="498"/>
      <c r="BD14" s="498"/>
      <c r="BE14" s="498"/>
      <c r="BF14" s="498"/>
      <c r="BG14" s="498"/>
      <c r="BH14" s="498"/>
      <c r="BI14" s="498"/>
      <c r="BJ14" s="498"/>
      <c r="BK14" s="498"/>
      <c r="BL14" s="498"/>
      <c r="BM14" s="498"/>
      <c r="BN14" s="114"/>
      <c r="BO14" s="102"/>
      <c r="BP14" s="102"/>
      <c r="BQ14" s="102"/>
      <c r="BR14" s="102"/>
    </row>
    <row r="15" spans="1:70" ht="38.25" customHeight="1" x14ac:dyDescent="0.25">
      <c r="B15" s="505"/>
      <c r="C15" s="166"/>
      <c r="D15" s="167"/>
      <c r="E15" s="167"/>
      <c r="F15" s="167"/>
      <c r="G15" s="167"/>
      <c r="H15" s="167"/>
      <c r="I15" s="167"/>
      <c r="J15" s="167"/>
      <c r="K15" s="167"/>
      <c r="L15" s="167"/>
      <c r="M15" s="167"/>
      <c r="N15" s="169">
        <v>14</v>
      </c>
      <c r="O15" s="170"/>
      <c r="P15" s="167"/>
      <c r="Q15" s="167"/>
      <c r="R15" s="167"/>
      <c r="S15" s="167"/>
      <c r="T15" s="167"/>
      <c r="U15" s="167"/>
      <c r="V15" s="167"/>
      <c r="W15" s="167"/>
      <c r="X15" s="167"/>
      <c r="Y15" s="168"/>
      <c r="Z15" s="502"/>
      <c r="AB15" s="497"/>
      <c r="AC15" s="497"/>
      <c r="AD15" s="497"/>
      <c r="AE15" s="497"/>
      <c r="AF15" s="497"/>
      <c r="AG15" s="497"/>
      <c r="AH15" s="497"/>
      <c r="AI15" s="497"/>
      <c r="AJ15" s="497"/>
      <c r="AK15" s="497"/>
      <c r="AL15" s="497"/>
      <c r="AM15" s="497"/>
      <c r="AN15" s="497"/>
      <c r="AO15" s="497"/>
      <c r="AP15" s="497"/>
      <c r="AQ15" s="497"/>
      <c r="AR15" s="497"/>
      <c r="AS15" s="497"/>
      <c r="AT15" s="497"/>
      <c r="AU15" s="498"/>
      <c r="AV15" s="498"/>
      <c r="AW15" s="498"/>
      <c r="AX15" s="498"/>
      <c r="AY15" s="498"/>
      <c r="AZ15" s="498"/>
      <c r="BA15" s="498"/>
      <c r="BB15" s="498"/>
      <c r="BC15" s="498"/>
      <c r="BD15" s="498"/>
      <c r="BE15" s="498"/>
      <c r="BF15" s="498"/>
      <c r="BG15" s="498"/>
      <c r="BH15" s="498"/>
      <c r="BI15" s="498"/>
      <c r="BJ15" s="498"/>
      <c r="BK15" s="498"/>
      <c r="BL15" s="498"/>
      <c r="BM15" s="498"/>
      <c r="BN15" s="114"/>
      <c r="BO15" s="102"/>
      <c r="BP15" s="102"/>
      <c r="BQ15" s="102"/>
      <c r="BR15" s="102" t="str">
        <f>IF(AND(AND(AU34&gt;=0,AU35&gt;=0),AND(AU34&lt;=3,AU35&lt;=6)),"a",IF(AND(AND(AU34&gt;=0,AU35&gt;6),AND(AU34&lt;=3,AU35&lt;=12)),"d",IF(AND(AND(AU34&gt;3,AU35&gt;=0),AND(AU34&lt;=6,AU35&lt;=6)),"b",IF(AND(AND(AU34&gt;3,AU35&gt;6),AND(AU34&lt;=6,AU35&lt;=12)),"c",IF(AND(AND(AU34&gt;=0,AU35&lt;0),AND(AU34&lt;=3,AU35&gt;=-6)),"e",IF(AND(AND(AU34&gt;=0,AU35&lt;-6),AND(AU34&lt;=3,AU35&gt;=-12)),"h",IF(AND(AND(AU34&gt;3,AU35&lt;0),AND(AU34&lt;=6,AU35&gt;=-6)),"f",IF(AND(AND(AU34&gt;3,AU35&lt;-6),AND(AU34&lt;=6,AU35&gt;=-12)),"g",IF(AND(AND(AU34&lt;0,AU35&gt;0),AND(AU34&gt;=-3,AU35&lt;=6)),"i",IF(AND(AND(AU34&lt;-3,AU35&gt;0),AND(AU34&gt;=-6,AU35&lt;=6)),"j",IF(AND(AND(AU34&lt;-3,AU35&gt;6),AND(AU34&gt;=-6,AU35&lt;=12)),"k",IF(AND(AND(AU34&lt;0,AU35&gt;6),AND(AU34&gt;=-3,AU35&lt;=12)),"l",IF(AND(AND(AU34&lt;0,AU35&lt;0),AND(AU34&gt;=-3,AU35&gt;=-6)),"m",IF(AND(AND(AU34&lt;-3,AU35&lt;0),AND(AU34&gt;=-6,AU35&gt;=-6)),"h",IF(AND(AND(AU34&lt;-3,AU35&lt;-6),AND(AU34&gt;=-6,AU35&gt;=-12)),"o",IF(AND(AND(AU34&lt;0,AU35&lt;-6),AND(AU34&gt;=-3,AU35&gt;=-12)),"p","error"))))))))))))))))</f>
        <v>b</v>
      </c>
    </row>
    <row r="16" spans="1:70" ht="15" customHeight="1" x14ac:dyDescent="0.25">
      <c r="B16" s="505"/>
      <c r="C16" s="166"/>
      <c r="D16" s="167"/>
      <c r="E16" s="167"/>
      <c r="F16" s="167"/>
      <c r="G16" s="167"/>
      <c r="H16" s="167"/>
      <c r="I16" s="167"/>
      <c r="J16" s="167"/>
      <c r="K16" s="167"/>
      <c r="L16" s="167"/>
      <c r="M16" s="167"/>
      <c r="N16" s="169">
        <v>12</v>
      </c>
      <c r="O16" s="167"/>
      <c r="P16" s="167"/>
      <c r="Q16" s="167"/>
      <c r="R16" s="167"/>
      <c r="S16" s="167"/>
      <c r="T16" s="167"/>
      <c r="U16" s="167"/>
      <c r="V16" s="167"/>
      <c r="W16" s="167"/>
      <c r="X16" s="167"/>
      <c r="Y16" s="168"/>
      <c r="Z16" s="502"/>
      <c r="AB16" s="497"/>
      <c r="AC16" s="497"/>
      <c r="AD16" s="497"/>
      <c r="AE16" s="497"/>
      <c r="AF16" s="497"/>
      <c r="AG16" s="497"/>
      <c r="AH16" s="497"/>
      <c r="AI16" s="497"/>
      <c r="AJ16" s="497"/>
      <c r="AK16" s="497"/>
      <c r="AL16" s="497"/>
      <c r="AM16" s="497"/>
      <c r="AN16" s="497"/>
      <c r="AO16" s="497"/>
      <c r="AP16" s="497"/>
      <c r="AQ16" s="497"/>
      <c r="AR16" s="497"/>
      <c r="AS16" s="497"/>
      <c r="AT16" s="497"/>
      <c r="AU16" s="498"/>
      <c r="AV16" s="498"/>
      <c r="AW16" s="498"/>
      <c r="AX16" s="498"/>
      <c r="AY16" s="498"/>
      <c r="AZ16" s="498"/>
      <c r="BA16" s="498"/>
      <c r="BB16" s="498"/>
      <c r="BC16" s="498"/>
      <c r="BD16" s="498"/>
      <c r="BE16" s="498"/>
      <c r="BF16" s="498"/>
      <c r="BG16" s="498"/>
      <c r="BH16" s="498"/>
      <c r="BI16" s="498"/>
      <c r="BJ16" s="498"/>
      <c r="BK16" s="498"/>
      <c r="BL16" s="498"/>
      <c r="BM16" s="498"/>
      <c r="BN16" s="114"/>
      <c r="BO16" s="102"/>
      <c r="BP16" s="102"/>
      <c r="BQ16" s="102"/>
      <c r="BR16" s="102"/>
    </row>
    <row r="17" spans="2:70" ht="15" customHeight="1" x14ac:dyDescent="0.25">
      <c r="B17" s="505"/>
      <c r="C17" s="166"/>
      <c r="D17" s="167"/>
      <c r="E17" s="167"/>
      <c r="F17" s="167"/>
      <c r="G17" s="167"/>
      <c r="H17" s="167"/>
      <c r="I17" s="167"/>
      <c r="J17" s="167"/>
      <c r="K17" s="167"/>
      <c r="L17" s="167"/>
      <c r="M17" s="167"/>
      <c r="N17" s="169">
        <v>10</v>
      </c>
      <c r="O17" s="171"/>
      <c r="P17" s="167"/>
      <c r="Q17" s="167"/>
      <c r="R17" s="167"/>
      <c r="S17" s="167"/>
      <c r="T17" s="167"/>
      <c r="U17" s="167"/>
      <c r="V17" s="167"/>
      <c r="W17" s="167"/>
      <c r="X17" s="167"/>
      <c r="Y17" s="168"/>
      <c r="Z17" s="502"/>
      <c r="AB17" s="497"/>
      <c r="AC17" s="497"/>
      <c r="AD17" s="497"/>
      <c r="AE17" s="497"/>
      <c r="AF17" s="497"/>
      <c r="AG17" s="497"/>
      <c r="AH17" s="497"/>
      <c r="AI17" s="497"/>
      <c r="AJ17" s="497"/>
      <c r="AK17" s="497"/>
      <c r="AL17" s="497"/>
      <c r="AM17" s="497"/>
      <c r="AN17" s="497"/>
      <c r="AO17" s="497"/>
      <c r="AP17" s="497"/>
      <c r="AQ17" s="497"/>
      <c r="AR17" s="497"/>
      <c r="AS17" s="497"/>
      <c r="AT17" s="497"/>
      <c r="AU17" s="498"/>
      <c r="AV17" s="498"/>
      <c r="AW17" s="498"/>
      <c r="AX17" s="498"/>
      <c r="AY17" s="498"/>
      <c r="AZ17" s="498"/>
      <c r="BA17" s="498"/>
      <c r="BB17" s="498"/>
      <c r="BC17" s="498"/>
      <c r="BD17" s="498"/>
      <c r="BE17" s="498"/>
      <c r="BF17" s="498"/>
      <c r="BG17" s="498"/>
      <c r="BH17" s="498"/>
      <c r="BI17" s="498"/>
      <c r="BJ17" s="498"/>
      <c r="BK17" s="498"/>
      <c r="BL17" s="498"/>
      <c r="BM17" s="498"/>
      <c r="BN17" s="114"/>
      <c r="BO17" s="102"/>
      <c r="BP17" s="102"/>
      <c r="BQ17" s="102"/>
      <c r="BR17" s="102"/>
    </row>
    <row r="18" spans="2:70" ht="15" customHeight="1" x14ac:dyDescent="0.25">
      <c r="B18" s="505"/>
      <c r="C18" s="166"/>
      <c r="D18" s="167"/>
      <c r="E18" s="167"/>
      <c r="F18" s="167"/>
      <c r="G18" s="167"/>
      <c r="H18" s="167"/>
      <c r="I18" s="167"/>
      <c r="J18" s="167"/>
      <c r="K18" s="167"/>
      <c r="L18" s="167"/>
      <c r="M18" s="167"/>
      <c r="N18" s="169">
        <v>8</v>
      </c>
      <c r="O18" s="172"/>
      <c r="P18" s="167"/>
      <c r="Q18" s="167"/>
      <c r="R18" s="167"/>
      <c r="S18" s="167"/>
      <c r="T18" s="167"/>
      <c r="U18" s="167"/>
      <c r="V18" s="167"/>
      <c r="W18" s="167"/>
      <c r="X18" s="167"/>
      <c r="Y18" s="168"/>
      <c r="Z18" s="502"/>
      <c r="AB18" s="497"/>
      <c r="AC18" s="497"/>
      <c r="AD18" s="497"/>
      <c r="AE18" s="497"/>
      <c r="AF18" s="497"/>
      <c r="AG18" s="497"/>
      <c r="AH18" s="497"/>
      <c r="AI18" s="497"/>
      <c r="AJ18" s="497"/>
      <c r="AK18" s="497"/>
      <c r="AL18" s="497"/>
      <c r="AM18" s="497"/>
      <c r="AN18" s="497"/>
      <c r="AO18" s="497"/>
      <c r="AP18" s="497"/>
      <c r="AQ18" s="497"/>
      <c r="AR18" s="497"/>
      <c r="AS18" s="497"/>
      <c r="AT18" s="497"/>
      <c r="AU18" s="498"/>
      <c r="AV18" s="498"/>
      <c r="AW18" s="498"/>
      <c r="AX18" s="498"/>
      <c r="AY18" s="498"/>
      <c r="AZ18" s="498"/>
      <c r="BA18" s="498"/>
      <c r="BB18" s="498"/>
      <c r="BC18" s="498"/>
      <c r="BD18" s="498"/>
      <c r="BE18" s="498"/>
      <c r="BF18" s="498"/>
      <c r="BG18" s="498"/>
      <c r="BH18" s="498"/>
      <c r="BI18" s="498"/>
      <c r="BJ18" s="498"/>
      <c r="BK18" s="498"/>
      <c r="BL18" s="498"/>
      <c r="BM18" s="498"/>
      <c r="BO18" s="102"/>
      <c r="BP18" s="102"/>
      <c r="BQ18" s="102"/>
      <c r="BR18" s="102"/>
    </row>
    <row r="19" spans="2:70" ht="15" customHeight="1" x14ac:dyDescent="0.25">
      <c r="B19" s="505"/>
      <c r="C19" s="166"/>
      <c r="D19" s="167"/>
      <c r="E19" s="167"/>
      <c r="F19" s="167"/>
      <c r="G19" s="167"/>
      <c r="H19" s="167"/>
      <c r="I19" s="167"/>
      <c r="J19" s="167"/>
      <c r="K19" s="167"/>
      <c r="L19" s="167"/>
      <c r="M19" s="167"/>
      <c r="N19" s="169">
        <v>6</v>
      </c>
      <c r="O19" s="173"/>
      <c r="P19" s="167"/>
      <c r="Q19" s="167"/>
      <c r="R19" s="167"/>
      <c r="S19" s="167"/>
      <c r="T19" s="167"/>
      <c r="U19" s="167"/>
      <c r="V19" s="167"/>
      <c r="W19" s="167"/>
      <c r="X19" s="167"/>
      <c r="Y19" s="168"/>
      <c r="Z19" s="502"/>
      <c r="AB19" s="497"/>
      <c r="AC19" s="497"/>
      <c r="AD19" s="497"/>
      <c r="AE19" s="497"/>
      <c r="AF19" s="497"/>
      <c r="AG19" s="497"/>
      <c r="AH19" s="497"/>
      <c r="AI19" s="497"/>
      <c r="AJ19" s="497"/>
      <c r="AK19" s="497"/>
      <c r="AL19" s="497"/>
      <c r="AM19" s="497"/>
      <c r="AN19" s="497"/>
      <c r="AO19" s="497"/>
      <c r="AP19" s="497"/>
      <c r="AQ19" s="497"/>
      <c r="AR19" s="497"/>
      <c r="AS19" s="497"/>
      <c r="AT19" s="497"/>
      <c r="AU19" s="498"/>
      <c r="AV19" s="498"/>
      <c r="AW19" s="498"/>
      <c r="AX19" s="498"/>
      <c r="AY19" s="498"/>
      <c r="AZ19" s="498"/>
      <c r="BA19" s="498"/>
      <c r="BB19" s="498"/>
      <c r="BC19" s="498"/>
      <c r="BD19" s="498"/>
      <c r="BE19" s="498"/>
      <c r="BF19" s="498"/>
      <c r="BG19" s="498"/>
      <c r="BH19" s="498"/>
      <c r="BI19" s="498"/>
      <c r="BJ19" s="498"/>
      <c r="BK19" s="498"/>
      <c r="BL19" s="498"/>
      <c r="BM19" s="498"/>
      <c r="BO19" s="102"/>
      <c r="BP19" s="102"/>
      <c r="BQ19" s="102"/>
      <c r="BR19" s="102"/>
    </row>
    <row r="20" spans="2:70" ht="15" customHeight="1" x14ac:dyDescent="0.25">
      <c r="B20" s="505"/>
      <c r="C20" s="166"/>
      <c r="D20" s="167"/>
      <c r="E20" s="167"/>
      <c r="F20" s="167"/>
      <c r="G20" s="167"/>
      <c r="H20" s="167"/>
      <c r="I20" s="167"/>
      <c r="J20" s="167"/>
      <c r="K20" s="167"/>
      <c r="L20" s="167"/>
      <c r="M20" s="167"/>
      <c r="N20" s="169">
        <v>4</v>
      </c>
      <c r="O20" s="173"/>
      <c r="P20" s="167"/>
      <c r="Q20" s="167"/>
      <c r="R20" s="167"/>
      <c r="S20" s="167"/>
      <c r="T20" s="167"/>
      <c r="U20" s="167"/>
      <c r="V20" s="167"/>
      <c r="W20" s="167"/>
      <c r="X20" s="167"/>
      <c r="Y20" s="168"/>
      <c r="Z20" s="502"/>
      <c r="AB20" s="497"/>
      <c r="AC20" s="497"/>
      <c r="AD20" s="497"/>
      <c r="AE20" s="497"/>
      <c r="AF20" s="497"/>
      <c r="AG20" s="497"/>
      <c r="AH20" s="497"/>
      <c r="AI20" s="497"/>
      <c r="AJ20" s="497"/>
      <c r="AK20" s="497"/>
      <c r="AL20" s="497"/>
      <c r="AM20" s="497"/>
      <c r="AN20" s="497"/>
      <c r="AO20" s="497"/>
      <c r="AP20" s="497"/>
      <c r="AQ20" s="497"/>
      <c r="AR20" s="497"/>
      <c r="AS20" s="497"/>
      <c r="AT20" s="497"/>
      <c r="AU20" s="498"/>
      <c r="AV20" s="498"/>
      <c r="AW20" s="498"/>
      <c r="AX20" s="498"/>
      <c r="AY20" s="498"/>
      <c r="AZ20" s="498"/>
      <c r="BA20" s="498"/>
      <c r="BB20" s="498"/>
      <c r="BC20" s="498"/>
      <c r="BD20" s="498"/>
      <c r="BE20" s="498"/>
      <c r="BF20" s="498"/>
      <c r="BG20" s="498"/>
      <c r="BH20" s="498"/>
      <c r="BI20" s="498"/>
      <c r="BJ20" s="498"/>
      <c r="BK20" s="498"/>
      <c r="BL20" s="498"/>
      <c r="BM20" s="498"/>
      <c r="BO20" s="102"/>
      <c r="BP20" s="102"/>
      <c r="BQ20" s="102"/>
      <c r="BR20" s="102"/>
    </row>
    <row r="21" spans="2:70" ht="15" customHeight="1" x14ac:dyDescent="0.25">
      <c r="B21" s="505"/>
      <c r="C21" s="166"/>
      <c r="D21" s="167"/>
      <c r="E21" s="167"/>
      <c r="F21" s="167"/>
      <c r="G21" s="167"/>
      <c r="H21" s="167"/>
      <c r="I21" s="167"/>
      <c r="J21" s="167"/>
      <c r="K21" s="167"/>
      <c r="L21" s="167"/>
      <c r="M21" s="167"/>
      <c r="N21" s="169">
        <v>2</v>
      </c>
      <c r="O21" s="173"/>
      <c r="P21" s="167"/>
      <c r="Q21" s="167"/>
      <c r="R21" s="167"/>
      <c r="S21" s="167"/>
      <c r="T21" s="167"/>
      <c r="U21" s="167"/>
      <c r="V21" s="167"/>
      <c r="W21" s="167"/>
      <c r="X21" s="167"/>
      <c r="Y21" s="168"/>
      <c r="Z21" s="502"/>
      <c r="AB21" s="497"/>
      <c r="AC21" s="497"/>
      <c r="AD21" s="497"/>
      <c r="AE21" s="497"/>
      <c r="AF21" s="497"/>
      <c r="AG21" s="497"/>
      <c r="AH21" s="497"/>
      <c r="AI21" s="497"/>
      <c r="AJ21" s="497"/>
      <c r="AK21" s="497"/>
      <c r="AL21" s="497"/>
      <c r="AM21" s="497"/>
      <c r="AN21" s="497"/>
      <c r="AO21" s="497"/>
      <c r="AP21" s="497"/>
      <c r="AQ21" s="497"/>
      <c r="AR21" s="497"/>
      <c r="AS21" s="497"/>
      <c r="AT21" s="497"/>
      <c r="AU21" s="498"/>
      <c r="AV21" s="498"/>
      <c r="AW21" s="498"/>
      <c r="AX21" s="498"/>
      <c r="AY21" s="498"/>
      <c r="AZ21" s="498"/>
      <c r="BA21" s="498"/>
      <c r="BB21" s="498"/>
      <c r="BC21" s="498"/>
      <c r="BD21" s="498"/>
      <c r="BE21" s="498"/>
      <c r="BF21" s="498"/>
      <c r="BG21" s="498"/>
      <c r="BH21" s="498"/>
      <c r="BI21" s="498"/>
      <c r="BJ21" s="498"/>
      <c r="BK21" s="498"/>
      <c r="BL21" s="498"/>
      <c r="BM21" s="498"/>
      <c r="BO21" s="102"/>
      <c r="BP21" s="102"/>
      <c r="BQ21" s="102"/>
      <c r="BR21" s="102"/>
    </row>
    <row r="22" spans="2:70" ht="15" customHeight="1" thickBot="1" x14ac:dyDescent="0.3">
      <c r="B22" s="505"/>
      <c r="C22" s="499" t="s">
        <v>79</v>
      </c>
      <c r="D22" s="500"/>
      <c r="E22" s="174"/>
      <c r="F22" s="174"/>
      <c r="G22" s="174"/>
      <c r="H22" s="175"/>
      <c r="I22" s="176"/>
      <c r="J22" s="174"/>
      <c r="K22" s="174"/>
      <c r="L22" s="174"/>
      <c r="M22" s="174"/>
      <c r="N22" s="177">
        <v>0</v>
      </c>
      <c r="O22" s="178"/>
      <c r="P22" s="174"/>
      <c r="Q22" s="174"/>
      <c r="R22" s="176"/>
      <c r="S22" s="174"/>
      <c r="T22" s="174"/>
      <c r="U22" s="176"/>
      <c r="V22" s="176"/>
      <c r="W22" s="176"/>
      <c r="X22" s="176"/>
      <c r="Y22" s="168"/>
      <c r="Z22" s="502"/>
      <c r="AB22" s="497"/>
      <c r="AC22" s="497"/>
      <c r="AD22" s="497"/>
      <c r="AE22" s="497"/>
      <c r="AF22" s="497"/>
      <c r="AG22" s="497"/>
      <c r="AH22" s="497"/>
      <c r="AI22" s="497"/>
      <c r="AJ22" s="497"/>
      <c r="AK22" s="497"/>
      <c r="AL22" s="497"/>
      <c r="AM22" s="497"/>
      <c r="AN22" s="497"/>
      <c r="AO22" s="497"/>
      <c r="AP22" s="497"/>
      <c r="AQ22" s="497"/>
      <c r="AR22" s="497"/>
      <c r="AS22" s="497"/>
      <c r="AT22" s="497"/>
      <c r="AU22" s="498"/>
      <c r="AV22" s="498"/>
      <c r="AW22" s="498"/>
      <c r="AX22" s="498"/>
      <c r="AY22" s="498"/>
      <c r="AZ22" s="498"/>
      <c r="BA22" s="498"/>
      <c r="BB22" s="498"/>
      <c r="BC22" s="498"/>
      <c r="BD22" s="498"/>
      <c r="BE22" s="498"/>
      <c r="BF22" s="498"/>
      <c r="BG22" s="498"/>
      <c r="BH22" s="498"/>
      <c r="BI22" s="498"/>
      <c r="BJ22" s="498"/>
      <c r="BK22" s="498"/>
      <c r="BL22" s="498"/>
      <c r="BM22" s="498"/>
      <c r="BN22" s="111"/>
      <c r="BO22" s="102"/>
      <c r="BP22" s="102"/>
      <c r="BQ22" s="102"/>
      <c r="BR22" s="102"/>
    </row>
    <row r="23" spans="2:70" ht="15" customHeight="1" thickTop="1" x14ac:dyDescent="0.25">
      <c r="B23" s="505"/>
      <c r="C23" s="499"/>
      <c r="D23" s="501"/>
      <c r="E23" s="179"/>
      <c r="F23" s="179">
        <v>-18</v>
      </c>
      <c r="G23" s="179">
        <v>-14</v>
      </c>
      <c r="H23" s="180">
        <v>-12</v>
      </c>
      <c r="I23" s="179">
        <v>-10</v>
      </c>
      <c r="J23" s="179">
        <v>-8</v>
      </c>
      <c r="K23" s="179">
        <v>-6</v>
      </c>
      <c r="L23" s="179">
        <v>-4</v>
      </c>
      <c r="M23" s="179">
        <v>-2</v>
      </c>
      <c r="N23" s="181">
        <v>0</v>
      </c>
      <c r="O23" s="182">
        <v>0</v>
      </c>
      <c r="P23" s="183">
        <v>2</v>
      </c>
      <c r="Q23" s="183">
        <v>4</v>
      </c>
      <c r="R23" s="183">
        <v>6</v>
      </c>
      <c r="S23" s="184">
        <v>8</v>
      </c>
      <c r="T23" s="183">
        <v>10</v>
      </c>
      <c r="U23" s="183">
        <v>12</v>
      </c>
      <c r="V23" s="183">
        <v>14</v>
      </c>
      <c r="W23" s="183">
        <v>16</v>
      </c>
      <c r="X23" s="183"/>
      <c r="Y23" s="168"/>
      <c r="Z23" s="502"/>
      <c r="AB23" s="497"/>
      <c r="AC23" s="497"/>
      <c r="AD23" s="497"/>
      <c r="AE23" s="497"/>
      <c r="AF23" s="497"/>
      <c r="AG23" s="497"/>
      <c r="AH23" s="497"/>
      <c r="AI23" s="497"/>
      <c r="AJ23" s="497"/>
      <c r="AK23" s="497"/>
      <c r="AL23" s="497"/>
      <c r="AM23" s="497"/>
      <c r="AN23" s="497"/>
      <c r="AO23" s="497"/>
      <c r="AP23" s="497"/>
      <c r="AQ23" s="497"/>
      <c r="AR23" s="497"/>
      <c r="AS23" s="497"/>
      <c r="AT23" s="497"/>
      <c r="AU23" s="498"/>
      <c r="AV23" s="498"/>
      <c r="AW23" s="498"/>
      <c r="AX23" s="498"/>
      <c r="AY23" s="498"/>
      <c r="AZ23" s="498"/>
      <c r="BA23" s="498"/>
      <c r="BB23" s="498"/>
      <c r="BC23" s="498"/>
      <c r="BD23" s="498"/>
      <c r="BE23" s="498"/>
      <c r="BF23" s="498"/>
      <c r="BG23" s="498"/>
      <c r="BH23" s="498"/>
      <c r="BI23" s="498"/>
      <c r="BJ23" s="498"/>
      <c r="BK23" s="498"/>
      <c r="BL23" s="498"/>
      <c r="BM23" s="498"/>
      <c r="BO23" s="102"/>
      <c r="BP23" s="102"/>
      <c r="BQ23" s="102"/>
      <c r="BR23" s="102"/>
    </row>
    <row r="24" spans="2:70" ht="15" customHeight="1" x14ac:dyDescent="0.25">
      <c r="B24" s="505"/>
      <c r="C24" s="166"/>
      <c r="D24" s="167"/>
      <c r="E24" s="167"/>
      <c r="F24" s="167"/>
      <c r="G24" s="167"/>
      <c r="H24" s="167"/>
      <c r="I24" s="167"/>
      <c r="J24" s="167"/>
      <c r="K24" s="167"/>
      <c r="L24" s="167"/>
      <c r="M24" s="167"/>
      <c r="N24" s="185">
        <v>-2</v>
      </c>
      <c r="O24" s="171"/>
      <c r="P24" s="167"/>
      <c r="Q24" s="167"/>
      <c r="R24" s="167"/>
      <c r="S24" s="167"/>
      <c r="T24" s="167"/>
      <c r="U24" s="167"/>
      <c r="V24" s="167"/>
      <c r="W24" s="167"/>
      <c r="X24" s="167"/>
      <c r="Y24" s="168"/>
      <c r="Z24" s="502"/>
      <c r="AB24" s="497"/>
      <c r="AC24" s="497"/>
      <c r="AD24" s="497"/>
      <c r="AE24" s="497"/>
      <c r="AF24" s="497"/>
      <c r="AG24" s="497"/>
      <c r="AH24" s="497"/>
      <c r="AI24" s="497"/>
      <c r="AJ24" s="497"/>
      <c r="AK24" s="497"/>
      <c r="AL24" s="497"/>
      <c r="AM24" s="497"/>
      <c r="AN24" s="497"/>
      <c r="AO24" s="497"/>
      <c r="AP24" s="497"/>
      <c r="AQ24" s="497"/>
      <c r="AR24" s="497"/>
      <c r="AS24" s="497"/>
      <c r="AT24" s="497"/>
      <c r="AU24" s="498"/>
      <c r="AV24" s="498"/>
      <c r="AW24" s="498"/>
      <c r="AX24" s="498"/>
      <c r="AY24" s="498"/>
      <c r="AZ24" s="498"/>
      <c r="BA24" s="498"/>
      <c r="BB24" s="498"/>
      <c r="BC24" s="498"/>
      <c r="BD24" s="498"/>
      <c r="BE24" s="498"/>
      <c r="BF24" s="498"/>
      <c r="BG24" s="498"/>
      <c r="BH24" s="498"/>
      <c r="BI24" s="498"/>
      <c r="BJ24" s="498"/>
      <c r="BK24" s="498"/>
      <c r="BL24" s="498"/>
      <c r="BM24" s="498"/>
      <c r="BN24" s="112"/>
      <c r="BO24" s="112"/>
      <c r="BP24" s="112"/>
      <c r="BQ24" s="112"/>
      <c r="BR24" s="112"/>
    </row>
    <row r="25" spans="2:70" ht="15" customHeight="1" x14ac:dyDescent="0.25">
      <c r="B25" s="505"/>
      <c r="C25" s="166"/>
      <c r="D25" s="167"/>
      <c r="E25" s="167"/>
      <c r="F25" s="167"/>
      <c r="G25" s="167"/>
      <c r="H25" s="167"/>
      <c r="I25" s="167"/>
      <c r="J25" s="167"/>
      <c r="K25" s="167"/>
      <c r="L25" s="167"/>
      <c r="M25" s="167"/>
      <c r="N25" s="185">
        <v>-4</v>
      </c>
      <c r="O25" s="186"/>
      <c r="P25" s="167"/>
      <c r="Q25" s="167"/>
      <c r="R25" s="167"/>
      <c r="S25" s="167"/>
      <c r="T25" s="167"/>
      <c r="U25" s="167"/>
      <c r="V25" s="167"/>
      <c r="W25" s="167"/>
      <c r="X25" s="167"/>
      <c r="Y25" s="168"/>
      <c r="Z25" s="502"/>
      <c r="AB25" s="497"/>
      <c r="AC25" s="497"/>
      <c r="AD25" s="497"/>
      <c r="AE25" s="497"/>
      <c r="AF25" s="497"/>
      <c r="AG25" s="497"/>
      <c r="AH25" s="497"/>
      <c r="AI25" s="497"/>
      <c r="AJ25" s="497"/>
      <c r="AK25" s="497"/>
      <c r="AL25" s="497"/>
      <c r="AM25" s="497"/>
      <c r="AN25" s="497"/>
      <c r="AO25" s="497"/>
      <c r="AP25" s="497"/>
      <c r="AQ25" s="497"/>
      <c r="AR25" s="497"/>
      <c r="AS25" s="497"/>
      <c r="AT25" s="497"/>
      <c r="AU25" s="498"/>
      <c r="AV25" s="498"/>
      <c r="AW25" s="498"/>
      <c r="AX25" s="498"/>
      <c r="AY25" s="498"/>
      <c r="AZ25" s="498"/>
      <c r="BA25" s="498"/>
      <c r="BB25" s="498"/>
      <c r="BC25" s="498"/>
      <c r="BD25" s="498"/>
      <c r="BE25" s="498"/>
      <c r="BF25" s="498"/>
      <c r="BG25" s="498"/>
      <c r="BH25" s="498"/>
      <c r="BI25" s="498"/>
      <c r="BJ25" s="498"/>
      <c r="BK25" s="498"/>
      <c r="BL25" s="498"/>
      <c r="BM25" s="498"/>
      <c r="BN25" s="112"/>
      <c r="BO25" s="112"/>
      <c r="BP25" s="112"/>
      <c r="BQ25" s="112"/>
      <c r="BR25" s="112"/>
    </row>
    <row r="26" spans="2:70" ht="15" customHeight="1" x14ac:dyDescent="0.25">
      <c r="B26" s="505"/>
      <c r="C26" s="166"/>
      <c r="D26" s="167"/>
      <c r="E26" s="167"/>
      <c r="F26" s="167"/>
      <c r="G26" s="167"/>
      <c r="H26" s="167"/>
      <c r="I26" s="167"/>
      <c r="J26" s="167"/>
      <c r="K26" s="167"/>
      <c r="L26" s="167"/>
      <c r="M26" s="167"/>
      <c r="N26" s="185">
        <v>-6</v>
      </c>
      <c r="O26" s="186"/>
      <c r="P26" s="167"/>
      <c r="Q26" s="167"/>
      <c r="R26" s="167"/>
      <c r="S26" s="167"/>
      <c r="T26" s="167"/>
      <c r="U26" s="167"/>
      <c r="V26" s="167"/>
      <c r="W26" s="167"/>
      <c r="X26" s="167"/>
      <c r="Y26" s="168"/>
      <c r="Z26" s="502"/>
      <c r="AB26" s="497"/>
      <c r="AC26" s="497"/>
      <c r="AD26" s="497"/>
      <c r="AE26" s="497"/>
      <c r="AF26" s="497"/>
      <c r="AG26" s="497"/>
      <c r="AH26" s="497"/>
      <c r="AI26" s="497"/>
      <c r="AJ26" s="497"/>
      <c r="AK26" s="497"/>
      <c r="AL26" s="497"/>
      <c r="AM26" s="497"/>
      <c r="AN26" s="497"/>
      <c r="AO26" s="497"/>
      <c r="AP26" s="497"/>
      <c r="AQ26" s="497"/>
      <c r="AR26" s="497"/>
      <c r="AS26" s="497"/>
      <c r="AT26" s="497"/>
      <c r="AU26" s="498"/>
      <c r="AV26" s="498"/>
      <c r="AW26" s="498"/>
      <c r="AX26" s="498"/>
      <c r="AY26" s="498"/>
      <c r="AZ26" s="498"/>
      <c r="BA26" s="498"/>
      <c r="BB26" s="498"/>
      <c r="BC26" s="498"/>
      <c r="BD26" s="498"/>
      <c r="BE26" s="498"/>
      <c r="BF26" s="498"/>
      <c r="BG26" s="498"/>
      <c r="BH26" s="498"/>
      <c r="BI26" s="498"/>
      <c r="BJ26" s="498"/>
      <c r="BK26" s="498"/>
      <c r="BL26" s="498"/>
      <c r="BM26" s="498"/>
      <c r="BN26" s="113"/>
      <c r="BO26" s="112"/>
      <c r="BP26" s="112"/>
      <c r="BQ26" s="112"/>
      <c r="BR26" s="112"/>
    </row>
    <row r="27" spans="2:70" ht="15" customHeight="1" x14ac:dyDescent="0.25">
      <c r="B27" s="505"/>
      <c r="C27" s="166"/>
      <c r="D27" s="167"/>
      <c r="E27" s="167"/>
      <c r="F27" s="167"/>
      <c r="G27" s="167"/>
      <c r="H27" s="167"/>
      <c r="I27" s="167"/>
      <c r="J27" s="167"/>
      <c r="K27" s="167"/>
      <c r="L27" s="167"/>
      <c r="M27" s="167"/>
      <c r="N27" s="185">
        <v>-8</v>
      </c>
      <c r="O27" s="186"/>
      <c r="P27" s="167"/>
      <c r="Q27" s="167"/>
      <c r="R27" s="167"/>
      <c r="S27" s="167"/>
      <c r="T27" s="167"/>
      <c r="U27" s="167"/>
      <c r="V27" s="167"/>
      <c r="W27" s="167"/>
      <c r="X27" s="167"/>
      <c r="Y27" s="168"/>
      <c r="Z27" s="502"/>
      <c r="AB27" s="497"/>
      <c r="AC27" s="497"/>
      <c r="AD27" s="497"/>
      <c r="AE27" s="497"/>
      <c r="AF27" s="497"/>
      <c r="AG27" s="497"/>
      <c r="AH27" s="497"/>
      <c r="AI27" s="497"/>
      <c r="AJ27" s="497"/>
      <c r="AK27" s="497"/>
      <c r="AL27" s="497"/>
      <c r="AM27" s="497"/>
      <c r="AN27" s="497"/>
      <c r="AO27" s="497"/>
      <c r="AP27" s="497"/>
      <c r="AQ27" s="497"/>
      <c r="AR27" s="497"/>
      <c r="AS27" s="497"/>
      <c r="AT27" s="497"/>
      <c r="AU27" s="498"/>
      <c r="AV27" s="498"/>
      <c r="AW27" s="498"/>
      <c r="AX27" s="498"/>
      <c r="AY27" s="498"/>
      <c r="AZ27" s="498"/>
      <c r="BA27" s="498"/>
      <c r="BB27" s="498"/>
      <c r="BC27" s="498"/>
      <c r="BD27" s="498"/>
      <c r="BE27" s="498"/>
      <c r="BF27" s="498"/>
      <c r="BG27" s="498"/>
      <c r="BH27" s="498"/>
      <c r="BI27" s="498"/>
      <c r="BJ27" s="498"/>
      <c r="BK27" s="498"/>
      <c r="BL27" s="498"/>
      <c r="BM27" s="498"/>
      <c r="BN27" s="112"/>
      <c r="BO27" s="112"/>
      <c r="BP27" s="112"/>
      <c r="BQ27" s="112"/>
      <c r="BR27" s="112"/>
    </row>
    <row r="28" spans="2:70" ht="32.25" customHeight="1" x14ac:dyDescent="0.25">
      <c r="B28" s="505"/>
      <c r="C28" s="166"/>
      <c r="D28" s="167"/>
      <c r="E28" s="167"/>
      <c r="F28" s="167"/>
      <c r="G28" s="167"/>
      <c r="H28" s="167"/>
      <c r="I28" s="167"/>
      <c r="J28" s="167"/>
      <c r="K28" s="167"/>
      <c r="L28" s="167"/>
      <c r="M28" s="167"/>
      <c r="N28" s="185">
        <v>-10</v>
      </c>
      <c r="O28" s="186"/>
      <c r="P28" s="167"/>
      <c r="Q28" s="167"/>
      <c r="R28" s="167"/>
      <c r="S28" s="167"/>
      <c r="T28" s="167"/>
      <c r="U28" s="167"/>
      <c r="V28" s="167"/>
      <c r="W28" s="167"/>
      <c r="X28" s="167"/>
      <c r="Y28" s="168"/>
      <c r="Z28" s="502"/>
      <c r="AB28" s="497"/>
      <c r="AC28" s="497"/>
      <c r="AD28" s="497"/>
      <c r="AE28" s="497"/>
      <c r="AF28" s="497"/>
      <c r="AG28" s="497"/>
      <c r="AH28" s="497"/>
      <c r="AI28" s="497"/>
      <c r="AJ28" s="497"/>
      <c r="AK28" s="497"/>
      <c r="AL28" s="497"/>
      <c r="AM28" s="497"/>
      <c r="AN28" s="497"/>
      <c r="AO28" s="497"/>
      <c r="AP28" s="497"/>
      <c r="AQ28" s="497"/>
      <c r="AR28" s="497"/>
      <c r="AS28" s="497"/>
      <c r="AT28" s="497"/>
      <c r="AU28" s="498"/>
      <c r="AV28" s="498"/>
      <c r="AW28" s="498"/>
      <c r="AX28" s="498"/>
      <c r="AY28" s="498"/>
      <c r="AZ28" s="498"/>
      <c r="BA28" s="498"/>
      <c r="BB28" s="498"/>
      <c r="BC28" s="498"/>
      <c r="BD28" s="498"/>
      <c r="BE28" s="498"/>
      <c r="BF28" s="498"/>
      <c r="BG28" s="498"/>
      <c r="BH28" s="498"/>
      <c r="BI28" s="498"/>
      <c r="BJ28" s="498"/>
      <c r="BK28" s="498"/>
      <c r="BL28" s="498"/>
      <c r="BM28" s="498"/>
      <c r="BN28" s="112"/>
      <c r="BO28" s="112"/>
      <c r="BP28" s="112"/>
      <c r="BQ28" s="112"/>
      <c r="BR28" s="112"/>
    </row>
    <row r="29" spans="2:70" ht="57.75" customHeight="1" x14ac:dyDescent="0.25">
      <c r="B29" s="505"/>
      <c r="C29" s="166"/>
      <c r="D29" s="167"/>
      <c r="E29" s="167"/>
      <c r="F29" s="167"/>
      <c r="G29" s="167"/>
      <c r="H29" s="167"/>
      <c r="I29" s="167"/>
      <c r="J29" s="167"/>
      <c r="K29" s="167"/>
      <c r="L29" s="167"/>
      <c r="M29" s="167"/>
      <c r="N29" s="185">
        <v>-12</v>
      </c>
      <c r="O29" s="186"/>
      <c r="P29" s="167"/>
      <c r="Q29" s="167"/>
      <c r="R29" s="167"/>
      <c r="S29" s="167"/>
      <c r="T29" s="167"/>
      <c r="U29" s="167"/>
      <c r="V29" s="167"/>
      <c r="W29" s="167"/>
      <c r="X29" s="167"/>
      <c r="Y29" s="168"/>
      <c r="Z29" s="502"/>
      <c r="AB29" s="497"/>
      <c r="AC29" s="497"/>
      <c r="AD29" s="497"/>
      <c r="AE29" s="497"/>
      <c r="AF29" s="497"/>
      <c r="AG29" s="497"/>
      <c r="AH29" s="497"/>
      <c r="AI29" s="497"/>
      <c r="AJ29" s="497"/>
      <c r="AK29" s="497"/>
      <c r="AL29" s="497"/>
      <c r="AM29" s="497"/>
      <c r="AN29" s="497"/>
      <c r="AO29" s="497"/>
      <c r="AP29" s="497"/>
      <c r="AQ29" s="497"/>
      <c r="AR29" s="497"/>
      <c r="AS29" s="497"/>
      <c r="AT29" s="497"/>
      <c r="AU29" s="498"/>
      <c r="AV29" s="498"/>
      <c r="AW29" s="498"/>
      <c r="AX29" s="498"/>
      <c r="AY29" s="498"/>
      <c r="AZ29" s="498"/>
      <c r="BA29" s="498"/>
      <c r="BB29" s="498"/>
      <c r="BC29" s="498"/>
      <c r="BD29" s="498"/>
      <c r="BE29" s="498"/>
      <c r="BF29" s="498"/>
      <c r="BG29" s="498"/>
      <c r="BH29" s="498"/>
      <c r="BI29" s="498"/>
      <c r="BJ29" s="498"/>
      <c r="BK29" s="498"/>
      <c r="BL29" s="498"/>
      <c r="BM29" s="498"/>
      <c r="BN29" s="112"/>
      <c r="BO29" s="112"/>
      <c r="BP29" s="112"/>
      <c r="BQ29" s="112"/>
      <c r="BR29" s="112"/>
    </row>
    <row r="30" spans="2:70" ht="15" hidden="1" customHeight="1" thickBot="1" x14ac:dyDescent="0.3">
      <c r="B30" s="505"/>
      <c r="C30" s="166"/>
      <c r="D30" s="167"/>
      <c r="E30" s="167"/>
      <c r="F30" s="167"/>
      <c r="G30" s="167"/>
      <c r="H30" s="167"/>
      <c r="I30" s="167"/>
      <c r="J30" s="167"/>
      <c r="K30" s="167"/>
      <c r="L30" s="167"/>
      <c r="M30" s="167"/>
      <c r="N30" s="185">
        <v>-14</v>
      </c>
      <c r="O30" s="186"/>
      <c r="P30" s="167"/>
      <c r="Q30" s="167"/>
      <c r="R30" s="167"/>
      <c r="S30" s="167"/>
      <c r="T30" s="167"/>
      <c r="U30" s="167"/>
      <c r="V30" s="167"/>
      <c r="W30" s="167"/>
      <c r="X30" s="167"/>
      <c r="Y30" s="168"/>
      <c r="Z30" s="502"/>
      <c r="AB30" s="339"/>
      <c r="AC30" s="339"/>
      <c r="AD30" s="339"/>
      <c r="AE30" s="339"/>
      <c r="AF30" s="339"/>
      <c r="AG30" s="339"/>
      <c r="AH30" s="339"/>
      <c r="AI30" s="338"/>
      <c r="AJ30" s="338"/>
      <c r="AK30" s="338"/>
      <c r="AL30" s="338"/>
      <c r="AM30" s="338"/>
      <c r="AN30" s="338"/>
      <c r="AO30" s="338"/>
      <c r="AP30" s="338"/>
      <c r="AQ30" s="338"/>
      <c r="AR30" s="338"/>
      <c r="AS30" s="338"/>
      <c r="AT30" s="338"/>
      <c r="AU30" s="338"/>
      <c r="AV30" s="338"/>
      <c r="AW30" s="338"/>
      <c r="AX30" s="338"/>
      <c r="AY30" s="338"/>
      <c r="AZ30" s="338"/>
      <c r="BA30" s="338"/>
      <c r="BB30" s="338"/>
      <c r="BC30" s="338"/>
      <c r="BD30" s="338"/>
      <c r="BE30" s="338"/>
      <c r="BF30" s="338"/>
      <c r="BG30" s="338"/>
      <c r="BH30" s="338"/>
      <c r="BI30" s="338"/>
      <c r="BJ30" s="338"/>
      <c r="BK30" s="338"/>
      <c r="BL30" s="338"/>
      <c r="BM30" s="338"/>
      <c r="BN30" s="112"/>
      <c r="BO30" s="112"/>
      <c r="BP30" s="112"/>
      <c r="BQ30" s="112"/>
      <c r="BR30" s="112"/>
    </row>
    <row r="31" spans="2:70" ht="15" hidden="1" customHeight="1" thickBot="1" x14ac:dyDescent="0.3">
      <c r="B31" s="505"/>
      <c r="C31" s="166"/>
      <c r="D31" s="167"/>
      <c r="E31" s="167"/>
      <c r="F31" s="167"/>
      <c r="G31" s="167"/>
      <c r="H31" s="167"/>
      <c r="I31" s="167"/>
      <c r="J31" s="167"/>
      <c r="K31" s="167"/>
      <c r="L31" s="167"/>
      <c r="M31" s="167"/>
      <c r="N31" s="185">
        <v>-16</v>
      </c>
      <c r="O31" s="186"/>
      <c r="P31" s="167"/>
      <c r="Q31" s="167"/>
      <c r="R31" s="167"/>
      <c r="S31" s="167"/>
      <c r="T31" s="167"/>
      <c r="U31" s="167"/>
      <c r="V31" s="167"/>
      <c r="W31" s="167"/>
      <c r="X31" s="167"/>
      <c r="Y31" s="168"/>
      <c r="Z31" s="502"/>
      <c r="AB31" s="337" t="s">
        <v>81</v>
      </c>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7"/>
      <c r="BD31" s="337"/>
      <c r="BE31" s="337"/>
      <c r="BF31" s="337"/>
      <c r="BG31" s="337"/>
      <c r="BH31" s="337"/>
      <c r="BI31" s="337"/>
      <c r="BJ31" s="337"/>
      <c r="BK31" s="337"/>
      <c r="BL31" s="337"/>
      <c r="BM31" s="337"/>
      <c r="BN31" s="112"/>
      <c r="BO31" s="112"/>
      <c r="BP31" s="112"/>
      <c r="BQ31" s="112"/>
      <c r="BR31" s="112"/>
    </row>
    <row r="32" spans="2:70" ht="15" hidden="1" customHeight="1" thickBot="1" x14ac:dyDescent="0.3">
      <c r="B32" s="505"/>
      <c r="C32" s="166"/>
      <c r="D32" s="167"/>
      <c r="E32" s="167"/>
      <c r="F32" s="167"/>
      <c r="G32" s="167"/>
      <c r="H32" s="167"/>
      <c r="I32" s="167"/>
      <c r="J32" s="167"/>
      <c r="K32" s="167"/>
      <c r="L32" s="167"/>
      <c r="M32" s="167"/>
      <c r="N32" s="185"/>
      <c r="O32" s="186"/>
      <c r="P32" s="167"/>
      <c r="Q32" s="167"/>
      <c r="R32" s="167"/>
      <c r="S32" s="167"/>
      <c r="T32" s="167"/>
      <c r="U32" s="167"/>
      <c r="V32" s="167"/>
      <c r="W32" s="167"/>
      <c r="X32" s="167"/>
      <c r="Y32" s="168"/>
      <c r="Z32" s="502"/>
      <c r="AB32" s="336" t="s">
        <v>82</v>
      </c>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336"/>
      <c r="BE32" s="336"/>
      <c r="BF32" s="336"/>
      <c r="BG32" s="336"/>
      <c r="BH32" s="336"/>
      <c r="BI32" s="336"/>
      <c r="BJ32" s="336"/>
      <c r="BK32" s="336"/>
      <c r="BL32" s="336"/>
      <c r="BM32" s="336"/>
      <c r="BN32" s="112"/>
      <c r="BO32" s="112"/>
      <c r="BP32" s="112"/>
      <c r="BQ32" s="112"/>
      <c r="BR32" s="112"/>
    </row>
    <row r="33" spans="2:70" ht="22.8" x14ac:dyDescent="0.25">
      <c r="B33" s="505"/>
      <c r="C33" s="166"/>
      <c r="D33" s="167"/>
      <c r="E33" s="519" t="s">
        <v>80</v>
      </c>
      <c r="F33" s="520"/>
      <c r="G33" s="520"/>
      <c r="H33" s="520"/>
      <c r="I33" s="520"/>
      <c r="J33" s="520"/>
      <c r="K33" s="521"/>
      <c r="L33" s="167"/>
      <c r="M33" s="167"/>
      <c r="N33" s="167"/>
      <c r="O33" s="167"/>
      <c r="P33" s="167"/>
      <c r="Q33" s="167"/>
      <c r="R33" s="525" t="s">
        <v>144</v>
      </c>
      <c r="S33" s="526"/>
      <c r="T33" s="526"/>
      <c r="U33" s="526"/>
      <c r="V33" s="526"/>
      <c r="W33" s="526"/>
      <c r="X33" s="527"/>
      <c r="Y33" s="168"/>
      <c r="Z33" s="502"/>
      <c r="AB33" s="531" t="s">
        <v>110</v>
      </c>
      <c r="AC33" s="532"/>
      <c r="AD33" s="532"/>
      <c r="AE33" s="532"/>
      <c r="AF33" s="532"/>
      <c r="AG33" s="532"/>
      <c r="AH33" s="532"/>
      <c r="AI33" s="532"/>
      <c r="AJ33" s="532"/>
      <c r="AK33" s="532"/>
      <c r="AL33" s="532"/>
      <c r="AM33" s="532"/>
      <c r="AN33" s="532"/>
      <c r="AO33" s="532"/>
      <c r="AP33" s="532"/>
      <c r="AQ33" s="532"/>
      <c r="AR33" s="532"/>
      <c r="AS33" s="532"/>
      <c r="AT33" s="533"/>
      <c r="AU33" s="531" t="s">
        <v>114</v>
      </c>
      <c r="AV33" s="532"/>
      <c r="AW33" s="532"/>
      <c r="AX33" s="532"/>
      <c r="AY33" s="532"/>
      <c r="AZ33" s="532"/>
      <c r="BA33" s="532"/>
      <c r="BB33" s="532"/>
      <c r="BC33" s="532"/>
      <c r="BD33" s="532"/>
      <c r="BE33" s="532"/>
      <c r="BF33" s="532"/>
      <c r="BG33" s="532"/>
      <c r="BH33" s="532"/>
      <c r="BI33" s="532"/>
      <c r="BJ33" s="532"/>
      <c r="BK33" s="532"/>
      <c r="BL33" s="532"/>
      <c r="BM33" s="533"/>
      <c r="BN33" s="112"/>
      <c r="BO33" s="112"/>
      <c r="BP33" s="112"/>
      <c r="BQ33" s="112"/>
      <c r="BR33" s="112"/>
    </row>
    <row r="34" spans="2:70" ht="15.75" customHeight="1" x14ac:dyDescent="0.25">
      <c r="B34" s="505"/>
      <c r="C34" s="166"/>
      <c r="D34" s="167"/>
      <c r="E34" s="522"/>
      <c r="F34" s="523"/>
      <c r="G34" s="523"/>
      <c r="H34" s="523"/>
      <c r="I34" s="523"/>
      <c r="J34" s="523"/>
      <c r="K34" s="524"/>
      <c r="L34" s="167"/>
      <c r="M34" s="167"/>
      <c r="N34" s="167"/>
      <c r="O34" s="167"/>
      <c r="P34" s="167"/>
      <c r="Q34" s="167"/>
      <c r="R34" s="528"/>
      <c r="S34" s="529"/>
      <c r="T34" s="529"/>
      <c r="U34" s="529"/>
      <c r="V34" s="529"/>
      <c r="W34" s="529"/>
      <c r="X34" s="530"/>
      <c r="Y34" s="168"/>
      <c r="Z34" s="502"/>
      <c r="AB34" s="534" t="s">
        <v>79</v>
      </c>
      <c r="AC34" s="534"/>
      <c r="AD34" s="534"/>
      <c r="AE34" s="534"/>
      <c r="AF34" s="534"/>
      <c r="AG34" s="534"/>
      <c r="AH34" s="534"/>
      <c r="AI34" s="534"/>
      <c r="AJ34" s="534"/>
      <c r="AK34" s="534"/>
      <c r="AL34" s="534"/>
      <c r="AM34" s="534"/>
      <c r="AN34" s="534"/>
      <c r="AO34" s="534"/>
      <c r="AP34" s="534"/>
      <c r="AQ34" s="534"/>
      <c r="AR34" s="534"/>
      <c r="AS34" s="534"/>
      <c r="AT34" s="534"/>
      <c r="AU34" s="492">
        <f>'2a. Análisis Foda'!N36</f>
        <v>3.448275862068968</v>
      </c>
      <c r="AV34" s="492"/>
      <c r="AW34" s="492"/>
      <c r="AX34" s="492"/>
      <c r="AY34" s="492"/>
      <c r="AZ34" s="492"/>
      <c r="BA34" s="492"/>
      <c r="BB34" s="492"/>
      <c r="BC34" s="492"/>
      <c r="BD34" s="492"/>
      <c r="BE34" s="492"/>
      <c r="BF34" s="492"/>
      <c r="BG34" s="492"/>
      <c r="BH34" s="492"/>
      <c r="BI34" s="492"/>
      <c r="BJ34" s="492"/>
      <c r="BK34" s="492"/>
      <c r="BL34" s="492"/>
      <c r="BM34" s="492"/>
      <c r="BN34" s="162">
        <f>AU34*-1</f>
        <v>-3.448275862068968</v>
      </c>
      <c r="BO34" s="162"/>
      <c r="BP34" s="162"/>
      <c r="BQ34" s="162"/>
      <c r="BR34" s="162"/>
    </row>
    <row r="35" spans="2:70" ht="15.75" customHeight="1" x14ac:dyDescent="0.25">
      <c r="B35" s="505"/>
      <c r="C35" s="187"/>
      <c r="D35" s="188"/>
      <c r="E35" s="188"/>
      <c r="F35" s="188"/>
      <c r="G35" s="188"/>
      <c r="H35" s="188"/>
      <c r="I35" s="188"/>
      <c r="J35" s="188"/>
      <c r="K35" s="188"/>
      <c r="L35" s="188"/>
      <c r="M35" s="188"/>
      <c r="N35" s="188"/>
      <c r="O35" s="188"/>
      <c r="P35" s="188"/>
      <c r="Q35" s="188"/>
      <c r="R35" s="188"/>
      <c r="S35" s="188"/>
      <c r="T35" s="188"/>
      <c r="U35" s="188"/>
      <c r="V35" s="188"/>
      <c r="W35" s="188"/>
      <c r="X35" s="188"/>
      <c r="Y35" s="189"/>
      <c r="Z35" s="502"/>
      <c r="AB35" s="493" t="s">
        <v>75</v>
      </c>
      <c r="AC35" s="493"/>
      <c r="AD35" s="493"/>
      <c r="AE35" s="493"/>
      <c r="AF35" s="493"/>
      <c r="AG35" s="493"/>
      <c r="AH35" s="493"/>
      <c r="AI35" s="493"/>
      <c r="AJ35" s="493"/>
      <c r="AK35" s="493"/>
      <c r="AL35" s="493"/>
      <c r="AM35" s="493"/>
      <c r="AN35" s="493"/>
      <c r="AO35" s="493"/>
      <c r="AP35" s="493"/>
      <c r="AQ35" s="493"/>
      <c r="AR35" s="493"/>
      <c r="AS35" s="493"/>
      <c r="AT35" s="493"/>
      <c r="AU35" s="494">
        <f>'2a. Análisis Foda'!N37</f>
        <v>1.0344827586206904</v>
      </c>
      <c r="AV35" s="494"/>
      <c r="AW35" s="494"/>
      <c r="AX35" s="494"/>
      <c r="AY35" s="494"/>
      <c r="AZ35" s="494"/>
      <c r="BA35" s="494"/>
      <c r="BB35" s="494"/>
      <c r="BC35" s="494"/>
      <c r="BD35" s="494"/>
      <c r="BE35" s="494"/>
      <c r="BF35" s="494"/>
      <c r="BG35" s="494"/>
      <c r="BH35" s="494"/>
      <c r="BI35" s="494"/>
      <c r="BJ35" s="494"/>
      <c r="BK35" s="494"/>
      <c r="BL35" s="494"/>
      <c r="BM35" s="494"/>
      <c r="BN35" s="162">
        <f>AU35*-1</f>
        <v>-1.0344827586206904</v>
      </c>
      <c r="BO35" s="162"/>
      <c r="BP35" s="162"/>
      <c r="BQ35" s="162"/>
      <c r="BR35" s="162"/>
    </row>
    <row r="36" spans="2:70" x14ac:dyDescent="0.25">
      <c r="B36" s="502"/>
      <c r="C36" s="502"/>
      <c r="D36" s="502"/>
      <c r="E36" s="502"/>
      <c r="F36" s="502"/>
      <c r="G36" s="502"/>
      <c r="H36" s="502"/>
      <c r="I36" s="502"/>
      <c r="J36" s="502"/>
      <c r="K36" s="502"/>
      <c r="L36" s="502"/>
      <c r="M36" s="502"/>
      <c r="N36" s="502"/>
      <c r="O36" s="502"/>
      <c r="P36" s="502"/>
      <c r="Q36" s="502"/>
      <c r="R36" s="502"/>
      <c r="S36" s="502"/>
      <c r="T36" s="502"/>
      <c r="U36" s="502"/>
      <c r="V36" s="502"/>
      <c r="W36" s="502"/>
      <c r="X36" s="502"/>
      <c r="Y36" s="502"/>
      <c r="Z36" s="5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O36" s="102"/>
      <c r="BP36" s="102"/>
      <c r="BQ36" s="102"/>
      <c r="BR36" s="102"/>
    </row>
    <row r="37" spans="2:70" x14ac:dyDescent="0.25">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O37" s="102"/>
      <c r="BP37" s="102"/>
      <c r="BQ37" s="102"/>
      <c r="BR37" s="102"/>
    </row>
    <row r="38" spans="2:70" x14ac:dyDescent="0.25">
      <c r="B38" s="191"/>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row>
  </sheetData>
  <dataConsolidate/>
  <mergeCells count="31">
    <mergeCell ref="A1:I6"/>
    <mergeCell ref="J1:BK2"/>
    <mergeCell ref="BL1:BQ2"/>
    <mergeCell ref="J3:BK4"/>
    <mergeCell ref="BL3:BQ4"/>
    <mergeCell ref="J5:BK6"/>
    <mergeCell ref="BL5:BQ6"/>
    <mergeCell ref="C22:D23"/>
    <mergeCell ref="B9:Z9"/>
    <mergeCell ref="AC9:AT9"/>
    <mergeCell ref="AU9:BM9"/>
    <mergeCell ref="B10:B35"/>
    <mergeCell ref="Z10:Z36"/>
    <mergeCell ref="AB10:BM11"/>
    <mergeCell ref="E11:K12"/>
    <mergeCell ref="N11:O12"/>
    <mergeCell ref="R11:X12"/>
    <mergeCell ref="E33:K34"/>
    <mergeCell ref="B36:Y36"/>
    <mergeCell ref="R33:X34"/>
    <mergeCell ref="AB33:AT33"/>
    <mergeCell ref="AU33:BM33"/>
    <mergeCell ref="AB34:AT34"/>
    <mergeCell ref="AU34:BM34"/>
    <mergeCell ref="AB35:AT35"/>
    <mergeCell ref="AU35:BM35"/>
    <mergeCell ref="BO11:BR13"/>
    <mergeCell ref="AB12:AT12"/>
    <mergeCell ref="AU12:BM12"/>
    <mergeCell ref="AB13:AT29"/>
    <mergeCell ref="AU13:BM29"/>
  </mergeCells>
  <conditionalFormatting sqref="AU9:BM9">
    <cfRule type="containsText" dxfId="73" priority="1" operator="containsText" text="Perfil Defensivo">
      <formula>NOT(ISERROR(SEARCH("Perfil Defensivo",AU9)))</formula>
    </cfRule>
    <cfRule type="containsText" dxfId="72" priority="2" operator="containsText" text="Perfil Conservador">
      <formula>NOT(ISERROR(SEARCH("Perfil Conservador",AU9)))</formula>
    </cfRule>
    <cfRule type="containsText" dxfId="71" priority="3" operator="containsText" text="Perfil Competitivo">
      <formula>NOT(ISERROR(SEARCH("Perfil Competitivo",AU9)))</formula>
    </cfRule>
    <cfRule type="containsText" dxfId="70" priority="4" operator="containsText" text="Perfil Agresivo">
      <formula>NOT(ISERROR(SEARCH("Perfil Agresivo",AU9)))</formula>
    </cfRule>
  </conditionalFormatting>
  <printOptions horizontalCentered="1"/>
  <pageMargins left="0.70866141732283472" right="0.70866141732283472" top="0.74803149606299213" bottom="0.74803149606299213" header="0.31496062992125984" footer="0.31496062992125984"/>
  <pageSetup scale="42"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4"/>
  <sheetViews>
    <sheetView showGridLines="0" zoomScale="80" zoomScaleNormal="80" zoomScaleSheetLayoutView="120" workbookViewId="0">
      <selection activeCell="C11" sqref="C11"/>
    </sheetView>
  </sheetViews>
  <sheetFormatPr baseColWidth="10" defaultColWidth="11.44140625" defaultRowHeight="13.8" x14ac:dyDescent="0.25"/>
  <cols>
    <col min="1" max="1" width="29.33203125" style="289" customWidth="1"/>
    <col min="2" max="2" width="11.109375" style="289" customWidth="1"/>
    <col min="3" max="3" width="101.5546875" style="116" customWidth="1"/>
    <col min="4" max="4" width="25.109375" style="299" customWidth="1"/>
    <col min="5" max="5" width="47.33203125" style="297" customWidth="1"/>
    <col min="6" max="6" width="103.6640625" style="297" customWidth="1"/>
    <col min="7" max="16384" width="11.44140625" style="116"/>
  </cols>
  <sheetData>
    <row r="1" spans="1:7" s="216" customFormat="1" ht="30" customHeight="1" x14ac:dyDescent="0.3">
      <c r="A1" s="545"/>
      <c r="B1" s="546"/>
      <c r="C1" s="551" t="s">
        <v>277</v>
      </c>
      <c r="D1" s="552"/>
      <c r="E1" s="559" t="s">
        <v>340</v>
      </c>
      <c r="F1" s="308"/>
      <c r="G1" s="308"/>
    </row>
    <row r="2" spans="1:7" s="216" customFormat="1" ht="18" customHeight="1" thickBot="1" x14ac:dyDescent="0.35">
      <c r="A2" s="547"/>
      <c r="B2" s="548"/>
      <c r="C2" s="553"/>
      <c r="D2" s="554"/>
      <c r="E2" s="559"/>
      <c r="F2" s="308"/>
      <c r="G2" s="308"/>
    </row>
    <row r="3" spans="1:7" s="216" customFormat="1" ht="30" customHeight="1" x14ac:dyDescent="0.3">
      <c r="A3" s="547"/>
      <c r="B3" s="548"/>
      <c r="C3" s="555" t="s">
        <v>177</v>
      </c>
      <c r="D3" s="552"/>
      <c r="E3" s="543" t="s">
        <v>183</v>
      </c>
      <c r="F3" s="309"/>
      <c r="G3" s="309"/>
    </row>
    <row r="4" spans="1:7" s="216" customFormat="1" ht="30" customHeight="1" thickBot="1" x14ac:dyDescent="0.35">
      <c r="A4" s="547"/>
      <c r="B4" s="548"/>
      <c r="C4" s="553"/>
      <c r="D4" s="554"/>
      <c r="E4" s="543"/>
      <c r="F4" s="309"/>
      <c r="G4" s="309"/>
    </row>
    <row r="5" spans="1:7" s="95" customFormat="1" ht="30" customHeight="1" x14ac:dyDescent="0.25">
      <c r="A5" s="547"/>
      <c r="B5" s="548"/>
      <c r="C5" s="551" t="s">
        <v>137</v>
      </c>
      <c r="D5" s="556"/>
      <c r="E5" s="544">
        <v>44279</v>
      </c>
      <c r="F5" s="310"/>
      <c r="G5" s="310"/>
    </row>
    <row r="6" spans="1:7" s="95" customFormat="1" ht="10.5" customHeight="1" thickBot="1" x14ac:dyDescent="0.3">
      <c r="A6" s="549"/>
      <c r="B6" s="550"/>
      <c r="C6" s="557"/>
      <c r="D6" s="558"/>
      <c r="E6" s="544"/>
      <c r="F6" s="310"/>
      <c r="G6" s="310"/>
    </row>
    <row r="9" spans="1:7" ht="25.5" customHeight="1" x14ac:dyDescent="0.25">
      <c r="A9" s="542" t="s">
        <v>225</v>
      </c>
      <c r="B9" s="542" t="s">
        <v>232</v>
      </c>
      <c r="C9" s="290" t="s">
        <v>226</v>
      </c>
      <c r="D9" s="542" t="s">
        <v>228</v>
      </c>
      <c r="E9" s="542" t="s">
        <v>229</v>
      </c>
      <c r="F9" s="290" t="s">
        <v>230</v>
      </c>
    </row>
    <row r="10" spans="1:7" ht="55.5" customHeight="1" x14ac:dyDescent="0.25">
      <c r="A10" s="542"/>
      <c r="B10" s="542"/>
      <c r="C10" s="291" t="s">
        <v>227</v>
      </c>
      <c r="D10" s="542"/>
      <c r="E10" s="542"/>
      <c r="F10" s="291" t="s">
        <v>231</v>
      </c>
    </row>
    <row r="11" spans="1:7" ht="91.2" customHeight="1" x14ac:dyDescent="0.25">
      <c r="A11" s="288" t="s">
        <v>279</v>
      </c>
      <c r="B11" s="292" t="s">
        <v>233</v>
      </c>
      <c r="C11" s="293" t="s">
        <v>405</v>
      </c>
      <c r="D11" s="293" t="s">
        <v>412</v>
      </c>
      <c r="E11" s="293" t="s">
        <v>406</v>
      </c>
      <c r="F11" s="293" t="s">
        <v>234</v>
      </c>
    </row>
    <row r="12" spans="1:7" ht="128.25" customHeight="1" x14ac:dyDescent="0.25">
      <c r="A12" s="288" t="s">
        <v>404</v>
      </c>
      <c r="B12" s="292" t="s">
        <v>233</v>
      </c>
      <c r="C12" s="293" t="s">
        <v>328</v>
      </c>
      <c r="D12" s="293" t="s">
        <v>413</v>
      </c>
      <c r="E12" s="293" t="s">
        <v>329</v>
      </c>
      <c r="F12" s="293" t="s">
        <v>430</v>
      </c>
    </row>
    <row r="13" spans="1:7" ht="79.2" x14ac:dyDescent="0.25">
      <c r="A13" s="288" t="s">
        <v>236</v>
      </c>
      <c r="B13" s="292" t="s">
        <v>233</v>
      </c>
      <c r="C13" s="293" t="s">
        <v>256</v>
      </c>
      <c r="D13" s="293" t="s">
        <v>238</v>
      </c>
      <c r="E13" s="293" t="s">
        <v>257</v>
      </c>
      <c r="F13" s="293" t="s">
        <v>267</v>
      </c>
    </row>
    <row r="14" spans="1:7" ht="52.8" x14ac:dyDescent="0.25">
      <c r="A14" s="288" t="s">
        <v>431</v>
      </c>
      <c r="B14" s="292" t="s">
        <v>233</v>
      </c>
      <c r="C14" s="293" t="s">
        <v>407</v>
      </c>
      <c r="D14" s="293" t="s">
        <v>414</v>
      </c>
      <c r="E14" s="293" t="s">
        <v>237</v>
      </c>
      <c r="F14" s="293" t="s">
        <v>240</v>
      </c>
    </row>
    <row r="15" spans="1:7" ht="79.2" x14ac:dyDescent="0.25">
      <c r="A15" s="288" t="s">
        <v>239</v>
      </c>
      <c r="B15" s="292" t="s">
        <v>233</v>
      </c>
      <c r="C15" s="349" t="s">
        <v>408</v>
      </c>
      <c r="D15" s="293" t="s">
        <v>415</v>
      </c>
      <c r="E15" s="293" t="s">
        <v>410</v>
      </c>
      <c r="F15" s="286" t="s">
        <v>409</v>
      </c>
    </row>
    <row r="16" spans="1:7" ht="110.25" customHeight="1" x14ac:dyDescent="0.25">
      <c r="A16" s="344" t="s">
        <v>242</v>
      </c>
      <c r="B16" s="292" t="s">
        <v>233</v>
      </c>
      <c r="C16" s="349" t="s">
        <v>241</v>
      </c>
      <c r="D16" s="294" t="s">
        <v>413</v>
      </c>
      <c r="E16" s="293" t="s">
        <v>411</v>
      </c>
      <c r="F16" s="293" t="s">
        <v>258</v>
      </c>
    </row>
    <row r="17" spans="1:6" ht="66" x14ac:dyDescent="0.25">
      <c r="A17" s="288" t="s">
        <v>432</v>
      </c>
      <c r="B17" s="292" t="s">
        <v>233</v>
      </c>
      <c r="C17" s="293" t="s">
        <v>243</v>
      </c>
      <c r="D17" s="294" t="s">
        <v>426</v>
      </c>
      <c r="E17" s="293" t="s">
        <v>416</v>
      </c>
      <c r="F17" s="293" t="s">
        <v>417</v>
      </c>
    </row>
    <row r="18" spans="1:6" ht="39.6" x14ac:dyDescent="0.25">
      <c r="A18" s="287" t="s">
        <v>254</v>
      </c>
      <c r="B18" s="292" t="s">
        <v>245</v>
      </c>
      <c r="C18" s="293" t="s">
        <v>418</v>
      </c>
      <c r="D18" s="294" t="s">
        <v>255</v>
      </c>
      <c r="E18" s="293" t="s">
        <v>253</v>
      </c>
      <c r="F18" s="293" t="s">
        <v>259</v>
      </c>
    </row>
    <row r="19" spans="1:6" ht="27.6" x14ac:dyDescent="0.25">
      <c r="A19" s="288" t="s">
        <v>252</v>
      </c>
      <c r="B19" s="292" t="s">
        <v>245</v>
      </c>
      <c r="C19" s="293" t="s">
        <v>419</v>
      </c>
      <c r="D19" s="294" t="s">
        <v>426</v>
      </c>
      <c r="E19" s="293" t="s">
        <v>253</v>
      </c>
      <c r="F19" s="293" t="s">
        <v>422</v>
      </c>
    </row>
    <row r="20" spans="1:6" ht="39.6" x14ac:dyDescent="0.25">
      <c r="A20" s="287" t="s">
        <v>244</v>
      </c>
      <c r="B20" s="292" t="s">
        <v>245</v>
      </c>
      <c r="C20" s="293" t="s">
        <v>420</v>
      </c>
      <c r="D20" s="293" t="s">
        <v>246</v>
      </c>
      <c r="E20" s="294" t="s">
        <v>421</v>
      </c>
      <c r="F20" s="293" t="s">
        <v>247</v>
      </c>
    </row>
    <row r="21" spans="1:6" ht="66" x14ac:dyDescent="0.25">
      <c r="A21" s="287" t="s">
        <v>248</v>
      </c>
      <c r="B21" s="292" t="s">
        <v>245</v>
      </c>
      <c r="C21" s="293" t="s">
        <v>423</v>
      </c>
      <c r="D21" s="294" t="s">
        <v>434</v>
      </c>
      <c r="E21" s="294" t="s">
        <v>435</v>
      </c>
      <c r="F21" s="295" t="s">
        <v>268</v>
      </c>
    </row>
    <row r="22" spans="1:6" ht="26.4" x14ac:dyDescent="0.25">
      <c r="A22" s="345" t="s">
        <v>424</v>
      </c>
      <c r="B22" s="292" t="s">
        <v>245</v>
      </c>
      <c r="C22" s="293" t="s">
        <v>425</v>
      </c>
      <c r="D22" s="294" t="s">
        <v>413</v>
      </c>
      <c r="E22" s="294" t="s">
        <v>427</v>
      </c>
      <c r="F22" s="294" t="s">
        <v>249</v>
      </c>
    </row>
    <row r="23" spans="1:6" ht="39.6" hidden="1" x14ac:dyDescent="0.25">
      <c r="A23" s="298" t="s">
        <v>192</v>
      </c>
      <c r="B23" s="292" t="s">
        <v>245</v>
      </c>
      <c r="C23" s="296" t="s">
        <v>260</v>
      </c>
      <c r="D23" s="294" t="s">
        <v>235</v>
      </c>
      <c r="E23" s="293" t="s">
        <v>250</v>
      </c>
      <c r="F23" s="293" t="s">
        <v>251</v>
      </c>
    </row>
    <row r="24" spans="1:6" ht="39.6" x14ac:dyDescent="0.25">
      <c r="A24" s="346" t="s">
        <v>261</v>
      </c>
      <c r="B24" s="292" t="s">
        <v>245</v>
      </c>
      <c r="C24" s="350" t="s">
        <v>262</v>
      </c>
      <c r="D24" s="347" t="s">
        <v>433</v>
      </c>
      <c r="E24" s="294" t="s">
        <v>429</v>
      </c>
      <c r="F24" s="293" t="s">
        <v>428</v>
      </c>
    </row>
  </sheetData>
  <mergeCells count="11">
    <mergeCell ref="A9:A10"/>
    <mergeCell ref="B9:B10"/>
    <mergeCell ref="D9:D10"/>
    <mergeCell ref="E9:E10"/>
    <mergeCell ref="E3:E4"/>
    <mergeCell ref="E5:E6"/>
    <mergeCell ref="A1:B6"/>
    <mergeCell ref="C1:D2"/>
    <mergeCell ref="C3:D4"/>
    <mergeCell ref="C5:D6"/>
    <mergeCell ref="E1:E2"/>
  </mergeCells>
  <dataValidations count="1">
    <dataValidation type="list" allowBlank="1" showInputMessage="1" showErrorMessage="1" sqref="B11:B24" xr:uid="{00000000-0002-0000-0700-000000000000}">
      <formula1>"Interna,Externa"</formula1>
    </dataValidation>
  </dataValidations>
  <pageMargins left="0.7" right="0.7" top="0.75" bottom="0.75" header="0.3" footer="0.3"/>
  <pageSetup scale="38"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K36"/>
  <sheetViews>
    <sheetView showGridLines="0" showRuler="0" view="pageLayout" topLeftCell="C31" zoomScale="60" zoomScaleNormal="90" zoomScaleSheetLayoutView="10" zoomScalePageLayoutView="60" workbookViewId="0">
      <selection activeCell="H28" sqref="H28:K28"/>
    </sheetView>
  </sheetViews>
  <sheetFormatPr baseColWidth="10" defaultColWidth="11.44140625" defaultRowHeight="13.8" x14ac:dyDescent="0.3"/>
  <cols>
    <col min="1" max="1" width="17.6640625" style="259" customWidth="1"/>
    <col min="2" max="2" width="18.44140625" style="258" customWidth="1"/>
    <col min="3" max="3" width="15.6640625" style="258" customWidth="1"/>
    <col min="4" max="5" width="45.109375" style="258" customWidth="1"/>
    <col min="6" max="6" width="4.109375" style="258" customWidth="1"/>
    <col min="7" max="7" width="25" style="258" customWidth="1"/>
    <col min="8" max="8" width="18.77734375" style="258" customWidth="1"/>
    <col min="9" max="9" width="16.109375" style="258" customWidth="1"/>
    <col min="10" max="10" width="43.109375" style="258" customWidth="1"/>
    <col min="11" max="11" width="42" style="258" customWidth="1"/>
    <col min="12" max="16384" width="11.44140625" style="258"/>
  </cols>
  <sheetData>
    <row r="1" spans="1:11" ht="15.75" customHeight="1" x14ac:dyDescent="0.3">
      <c r="A1" s="560"/>
      <c r="B1" s="560"/>
      <c r="C1" s="560"/>
      <c r="D1" s="568" t="s">
        <v>277</v>
      </c>
      <c r="E1" s="568"/>
      <c r="F1" s="568"/>
      <c r="G1" s="568"/>
      <c r="H1" s="568"/>
      <c r="I1" s="568"/>
      <c r="J1" s="568"/>
      <c r="K1" s="568" t="s">
        <v>340</v>
      </c>
    </row>
    <row r="2" spans="1:11" ht="15.75" customHeight="1" x14ac:dyDescent="0.3">
      <c r="A2" s="560"/>
      <c r="B2" s="560"/>
      <c r="C2" s="560"/>
      <c r="D2" s="568"/>
      <c r="E2" s="568"/>
      <c r="F2" s="568"/>
      <c r="G2" s="568"/>
      <c r="H2" s="568"/>
      <c r="I2" s="568"/>
      <c r="J2" s="568"/>
      <c r="K2" s="568"/>
    </row>
    <row r="3" spans="1:11" ht="15.75" customHeight="1" x14ac:dyDescent="0.3">
      <c r="A3" s="560"/>
      <c r="B3" s="560"/>
      <c r="C3" s="560"/>
      <c r="D3" s="568" t="s">
        <v>177</v>
      </c>
      <c r="E3" s="568"/>
      <c r="F3" s="568"/>
      <c r="G3" s="568"/>
      <c r="H3" s="568"/>
      <c r="I3" s="568"/>
      <c r="J3" s="568"/>
      <c r="K3" s="568" t="s">
        <v>196</v>
      </c>
    </row>
    <row r="4" spans="1:11" ht="15.75" customHeight="1" x14ac:dyDescent="0.3">
      <c r="A4" s="560"/>
      <c r="B4" s="560"/>
      <c r="C4" s="560"/>
      <c r="D4" s="568"/>
      <c r="E4" s="568"/>
      <c r="F4" s="568"/>
      <c r="G4" s="568"/>
      <c r="H4" s="568"/>
      <c r="I4" s="568"/>
      <c r="J4" s="568"/>
      <c r="K4" s="568"/>
    </row>
    <row r="5" spans="1:11" ht="15.75" customHeight="1" x14ac:dyDescent="0.3">
      <c r="A5" s="560"/>
      <c r="B5" s="560"/>
      <c r="C5" s="560"/>
      <c r="D5" s="568" t="s">
        <v>137</v>
      </c>
      <c r="E5" s="568"/>
      <c r="F5" s="568"/>
      <c r="G5" s="568"/>
      <c r="H5" s="568"/>
      <c r="I5" s="568"/>
      <c r="J5" s="568"/>
      <c r="K5" s="569">
        <v>44279</v>
      </c>
    </row>
    <row r="6" spans="1:11" ht="15.75" customHeight="1" x14ac:dyDescent="0.3">
      <c r="A6" s="560"/>
      <c r="B6" s="560"/>
      <c r="C6" s="560"/>
      <c r="D6" s="568"/>
      <c r="E6" s="568"/>
      <c r="F6" s="568"/>
      <c r="G6" s="568"/>
      <c r="H6" s="568"/>
      <c r="I6" s="568"/>
      <c r="J6" s="568"/>
      <c r="K6" s="569"/>
    </row>
    <row r="8" spans="1:11" ht="20.25" customHeight="1" thickBot="1" x14ac:dyDescent="0.35">
      <c r="A8" s="260" t="s">
        <v>71</v>
      </c>
      <c r="G8" s="261" t="s">
        <v>34</v>
      </c>
    </row>
    <row r="9" spans="1:11" ht="41.25" customHeight="1" thickTop="1" x14ac:dyDescent="0.3">
      <c r="A9" s="262" t="s">
        <v>46</v>
      </c>
      <c r="B9" s="561" t="s">
        <v>70</v>
      </c>
      <c r="C9" s="562"/>
      <c r="D9" s="562"/>
      <c r="E9" s="563"/>
      <c r="F9" s="263"/>
      <c r="G9" s="262" t="s">
        <v>46</v>
      </c>
      <c r="H9" s="564" t="s">
        <v>70</v>
      </c>
      <c r="I9" s="564"/>
      <c r="J9" s="564"/>
      <c r="K9" s="565"/>
    </row>
    <row r="10" spans="1:11" ht="65.25" customHeight="1" x14ac:dyDescent="0.3">
      <c r="A10" s="264" t="s">
        <v>55</v>
      </c>
      <c r="B10" s="566" t="s">
        <v>308</v>
      </c>
      <c r="C10" s="566"/>
      <c r="D10" s="566"/>
      <c r="E10" s="567"/>
      <c r="F10" s="263"/>
      <c r="G10" s="264" t="s">
        <v>55</v>
      </c>
      <c r="H10" s="576" t="s">
        <v>217</v>
      </c>
      <c r="I10" s="576"/>
      <c r="J10" s="576"/>
      <c r="K10" s="577"/>
    </row>
    <row r="11" spans="1:11" ht="44.25" customHeight="1" x14ac:dyDescent="0.3">
      <c r="A11" s="264" t="s">
        <v>9</v>
      </c>
      <c r="B11" s="566" t="s">
        <v>280</v>
      </c>
      <c r="C11" s="566"/>
      <c r="D11" s="566"/>
      <c r="E11" s="567"/>
      <c r="F11" s="263"/>
      <c r="G11" s="264" t="s">
        <v>9</v>
      </c>
      <c r="H11" s="576" t="s">
        <v>281</v>
      </c>
      <c r="I11" s="576"/>
      <c r="J11" s="576"/>
      <c r="K11" s="577"/>
    </row>
    <row r="12" spans="1:11" ht="65.25" customHeight="1" x14ac:dyDescent="0.3">
      <c r="A12" s="264" t="s">
        <v>10</v>
      </c>
      <c r="B12" s="566" t="s">
        <v>307</v>
      </c>
      <c r="C12" s="566"/>
      <c r="D12" s="566"/>
      <c r="E12" s="567"/>
      <c r="F12" s="263"/>
      <c r="G12" s="264" t="s">
        <v>10</v>
      </c>
      <c r="H12" s="576" t="s">
        <v>282</v>
      </c>
      <c r="I12" s="576"/>
      <c r="J12" s="576"/>
      <c r="K12" s="577"/>
    </row>
    <row r="13" spans="1:11" ht="48.75" customHeight="1" x14ac:dyDescent="0.3">
      <c r="A13" s="264" t="s">
        <v>56</v>
      </c>
      <c r="B13" s="566" t="s">
        <v>283</v>
      </c>
      <c r="C13" s="566"/>
      <c r="D13" s="566"/>
      <c r="E13" s="567"/>
      <c r="F13" s="263"/>
      <c r="G13" s="264" t="s">
        <v>56</v>
      </c>
      <c r="H13" s="576" t="s">
        <v>284</v>
      </c>
      <c r="I13" s="576"/>
      <c r="J13" s="576"/>
      <c r="K13" s="577"/>
    </row>
    <row r="14" spans="1:11" ht="51" customHeight="1" x14ac:dyDescent="0.3">
      <c r="A14" s="264" t="s">
        <v>6</v>
      </c>
      <c r="B14" s="566" t="s">
        <v>215</v>
      </c>
      <c r="C14" s="566"/>
      <c r="D14" s="566"/>
      <c r="E14" s="567"/>
      <c r="F14" s="263"/>
      <c r="G14" s="264" t="s">
        <v>6</v>
      </c>
      <c r="H14" s="576" t="s">
        <v>216</v>
      </c>
      <c r="I14" s="576"/>
      <c r="J14" s="576"/>
      <c r="K14" s="577"/>
    </row>
    <row r="15" spans="1:11" ht="42" customHeight="1" x14ac:dyDescent="0.3">
      <c r="A15" s="264" t="s">
        <v>206</v>
      </c>
      <c r="B15" s="566" t="s">
        <v>285</v>
      </c>
      <c r="C15" s="566"/>
      <c r="D15" s="566"/>
      <c r="E15" s="567"/>
      <c r="F15" s="265"/>
      <c r="G15" s="264" t="s">
        <v>206</v>
      </c>
      <c r="H15" s="576" t="s">
        <v>286</v>
      </c>
      <c r="I15" s="576"/>
      <c r="J15" s="576"/>
      <c r="K15" s="577"/>
    </row>
    <row r="16" spans="1:11" ht="42" customHeight="1" x14ac:dyDescent="0.25">
      <c r="A16" s="282" t="s">
        <v>219</v>
      </c>
      <c r="B16" s="570" t="s">
        <v>221</v>
      </c>
      <c r="C16" s="571"/>
      <c r="D16" s="571"/>
      <c r="E16" s="572"/>
      <c r="F16" s="265"/>
      <c r="G16" s="282" t="s">
        <v>219</v>
      </c>
      <c r="H16" s="570" t="s">
        <v>220</v>
      </c>
      <c r="I16" s="571"/>
      <c r="J16" s="571"/>
      <c r="K16" s="572"/>
    </row>
    <row r="17" spans="1:11" ht="42" customHeight="1" x14ac:dyDescent="0.25">
      <c r="A17" s="282" t="s">
        <v>222</v>
      </c>
      <c r="B17" s="570" t="s">
        <v>223</v>
      </c>
      <c r="C17" s="571"/>
      <c r="D17" s="571"/>
      <c r="E17" s="572"/>
      <c r="F17" s="265"/>
      <c r="G17" s="282" t="s">
        <v>222</v>
      </c>
      <c r="H17" s="573" t="s">
        <v>287</v>
      </c>
      <c r="I17" s="574"/>
      <c r="J17" s="574"/>
      <c r="K17" s="575"/>
    </row>
    <row r="18" spans="1:11" ht="44.25" customHeight="1" thickBot="1" x14ac:dyDescent="0.35">
      <c r="A18" s="266" t="s">
        <v>57</v>
      </c>
      <c r="B18" s="581" t="s">
        <v>288</v>
      </c>
      <c r="C18" s="581"/>
      <c r="D18" s="581"/>
      <c r="E18" s="582"/>
      <c r="F18" s="263"/>
      <c r="G18" s="266" t="s">
        <v>57</v>
      </c>
      <c r="H18" s="581" t="s">
        <v>289</v>
      </c>
      <c r="I18" s="581"/>
      <c r="J18" s="581"/>
      <c r="K18" s="582"/>
    </row>
    <row r="19" spans="1:11" ht="12" customHeight="1" thickTop="1" thickBot="1" x14ac:dyDescent="0.35">
      <c r="A19" s="267"/>
      <c r="B19" s="263"/>
      <c r="C19" s="268"/>
      <c r="D19" s="268"/>
      <c r="E19" s="268"/>
      <c r="F19" s="268"/>
      <c r="G19" s="268"/>
      <c r="H19" s="268"/>
      <c r="I19" s="268"/>
      <c r="J19" s="268"/>
      <c r="K19" s="268"/>
    </row>
    <row r="20" spans="1:11" ht="14.4" thickTop="1" x14ac:dyDescent="0.3">
      <c r="A20" s="278" t="s">
        <v>47</v>
      </c>
      <c r="B20" s="564" t="s">
        <v>70</v>
      </c>
      <c r="C20" s="564"/>
      <c r="D20" s="564"/>
      <c r="E20" s="565"/>
      <c r="F20" s="263"/>
      <c r="G20" s="262"/>
      <c r="H20" s="564" t="s">
        <v>70</v>
      </c>
      <c r="I20" s="564"/>
      <c r="J20" s="564"/>
      <c r="K20" s="565"/>
    </row>
    <row r="21" spans="1:11" x14ac:dyDescent="0.3">
      <c r="A21" s="279" t="s">
        <v>17</v>
      </c>
      <c r="B21" s="583" t="s">
        <v>209</v>
      </c>
      <c r="C21" s="584"/>
      <c r="D21" s="584"/>
      <c r="E21" s="585"/>
      <c r="F21" s="263"/>
      <c r="G21" s="264" t="s">
        <v>17</v>
      </c>
      <c r="H21" s="576" t="s">
        <v>210</v>
      </c>
      <c r="I21" s="576"/>
      <c r="J21" s="576"/>
      <c r="K21" s="577"/>
    </row>
    <row r="22" spans="1:11" x14ac:dyDescent="0.3">
      <c r="A22" s="279" t="s">
        <v>16</v>
      </c>
      <c r="B22" s="583" t="s">
        <v>211</v>
      </c>
      <c r="C22" s="584"/>
      <c r="D22" s="584"/>
      <c r="E22" s="585"/>
      <c r="F22" s="269"/>
      <c r="G22" s="264" t="s">
        <v>16</v>
      </c>
      <c r="H22" s="576" t="s">
        <v>212</v>
      </c>
      <c r="I22" s="576"/>
      <c r="J22" s="576"/>
      <c r="K22" s="577"/>
    </row>
    <row r="23" spans="1:11" ht="33.75" customHeight="1" thickBot="1" x14ac:dyDescent="0.35">
      <c r="A23" s="280" t="s">
        <v>13</v>
      </c>
      <c r="B23" s="578" t="s">
        <v>213</v>
      </c>
      <c r="C23" s="579"/>
      <c r="D23" s="579"/>
      <c r="E23" s="580"/>
      <c r="F23" s="263"/>
      <c r="G23" s="266" t="s">
        <v>13</v>
      </c>
      <c r="H23" s="581" t="s">
        <v>214</v>
      </c>
      <c r="I23" s="581"/>
      <c r="J23" s="581"/>
      <c r="K23" s="582"/>
    </row>
    <row r="24" spans="1:11" ht="15" thickTop="1" thickBot="1" x14ac:dyDescent="0.35">
      <c r="A24" s="267"/>
      <c r="B24" s="263"/>
      <c r="C24" s="268"/>
      <c r="D24" s="268"/>
      <c r="E24" s="268"/>
      <c r="F24" s="263"/>
      <c r="G24" s="267"/>
      <c r="H24" s="263"/>
      <c r="I24" s="268"/>
      <c r="J24" s="268"/>
      <c r="K24" s="268"/>
    </row>
    <row r="25" spans="1:11" ht="14.4" thickTop="1" x14ac:dyDescent="0.3">
      <c r="A25" s="262" t="s">
        <v>48</v>
      </c>
      <c r="B25" s="564" t="s">
        <v>70</v>
      </c>
      <c r="C25" s="564"/>
      <c r="D25" s="564"/>
      <c r="E25" s="565"/>
      <c r="F25" s="263"/>
      <c r="G25" s="262" t="s">
        <v>48</v>
      </c>
      <c r="H25" s="564" t="s">
        <v>70</v>
      </c>
      <c r="I25" s="564"/>
      <c r="J25" s="564"/>
      <c r="K25" s="565"/>
    </row>
    <row r="26" spans="1:11" ht="51" customHeight="1" x14ac:dyDescent="0.3">
      <c r="A26" s="264" t="s">
        <v>14</v>
      </c>
      <c r="B26" s="566" t="s">
        <v>290</v>
      </c>
      <c r="C26" s="566"/>
      <c r="D26" s="566"/>
      <c r="E26" s="567"/>
      <c r="F26" s="263"/>
      <c r="G26" s="264" t="s">
        <v>14</v>
      </c>
      <c r="H26" s="576" t="s">
        <v>291</v>
      </c>
      <c r="I26" s="576"/>
      <c r="J26" s="576"/>
      <c r="K26" s="577"/>
    </row>
    <row r="27" spans="1:11" ht="51" customHeight="1" x14ac:dyDescent="0.3">
      <c r="A27" s="264" t="s">
        <v>4</v>
      </c>
      <c r="B27" s="576" t="s">
        <v>292</v>
      </c>
      <c r="C27" s="576"/>
      <c r="D27" s="576"/>
      <c r="E27" s="577"/>
      <c r="F27" s="263"/>
      <c r="G27" s="264" t="s">
        <v>4</v>
      </c>
      <c r="H27" s="576" t="s">
        <v>293</v>
      </c>
      <c r="I27" s="576"/>
      <c r="J27" s="576"/>
      <c r="K27" s="577"/>
    </row>
    <row r="28" spans="1:11" ht="51" customHeight="1" thickBot="1" x14ac:dyDescent="0.35">
      <c r="A28" s="266" t="s">
        <v>15</v>
      </c>
      <c r="B28" s="581" t="s">
        <v>294</v>
      </c>
      <c r="C28" s="581"/>
      <c r="D28" s="581"/>
      <c r="E28" s="582"/>
      <c r="F28" s="263"/>
      <c r="G28" s="266" t="s">
        <v>218</v>
      </c>
      <c r="H28" s="581" t="s">
        <v>295</v>
      </c>
      <c r="I28" s="581"/>
      <c r="J28" s="581"/>
      <c r="K28" s="582"/>
    </row>
    <row r="29" spans="1:11" ht="15" thickTop="1" thickBot="1" x14ac:dyDescent="0.35">
      <c r="A29" s="267"/>
      <c r="B29" s="263"/>
      <c r="C29" s="268"/>
      <c r="D29" s="268"/>
      <c r="E29" s="268"/>
      <c r="F29" s="263"/>
      <c r="G29" s="267"/>
      <c r="H29" s="263"/>
      <c r="I29" s="268"/>
      <c r="J29" s="268"/>
      <c r="K29" s="268"/>
    </row>
    <row r="30" spans="1:11" ht="14.4" thickTop="1" x14ac:dyDescent="0.3">
      <c r="A30" s="262" t="s">
        <v>72</v>
      </c>
      <c r="B30" s="281" t="s">
        <v>49</v>
      </c>
      <c r="C30" s="281" t="s">
        <v>50</v>
      </c>
      <c r="D30" s="564" t="s">
        <v>73</v>
      </c>
      <c r="E30" s="565"/>
      <c r="F30" s="263"/>
      <c r="G30" s="262" t="s">
        <v>72</v>
      </c>
      <c r="H30" s="281" t="s">
        <v>49</v>
      </c>
      <c r="I30" s="281" t="s">
        <v>50</v>
      </c>
      <c r="J30" s="564" t="s">
        <v>73</v>
      </c>
      <c r="K30" s="565"/>
    </row>
    <row r="31" spans="1:11" ht="71.400000000000006" customHeight="1" x14ac:dyDescent="0.3">
      <c r="A31" s="264" t="s">
        <v>18</v>
      </c>
      <c r="B31" s="270" t="s">
        <v>25</v>
      </c>
      <c r="C31" s="270" t="s">
        <v>2</v>
      </c>
      <c r="D31" s="342" t="s">
        <v>296</v>
      </c>
      <c r="E31" s="306"/>
      <c r="F31" s="263"/>
      <c r="G31" s="264" t="s">
        <v>58</v>
      </c>
      <c r="H31" s="271" t="s">
        <v>59</v>
      </c>
      <c r="I31" s="271" t="s">
        <v>60</v>
      </c>
      <c r="J31" s="343" t="s">
        <v>264</v>
      </c>
      <c r="K31" s="300"/>
    </row>
    <row r="32" spans="1:11" ht="84" customHeight="1" x14ac:dyDescent="0.3">
      <c r="A32" s="264" t="s">
        <v>19</v>
      </c>
      <c r="B32" s="272" t="s">
        <v>26</v>
      </c>
      <c r="C32" s="272" t="s">
        <v>1</v>
      </c>
      <c r="D32" s="342" t="s">
        <v>297</v>
      </c>
      <c r="E32" s="306"/>
      <c r="F32" s="263"/>
      <c r="G32" s="264" t="s">
        <v>61</v>
      </c>
      <c r="H32" s="273" t="s">
        <v>62</v>
      </c>
      <c r="I32" s="273" t="s">
        <v>63</v>
      </c>
      <c r="J32" s="343" t="s">
        <v>298</v>
      </c>
      <c r="K32" s="300"/>
    </row>
    <row r="33" spans="1:11" ht="72.599999999999994" customHeight="1" x14ac:dyDescent="0.3">
      <c r="A33" s="264" t="s">
        <v>20</v>
      </c>
      <c r="B33" s="274" t="s">
        <v>0</v>
      </c>
      <c r="C33" s="274" t="s">
        <v>24</v>
      </c>
      <c r="D33" s="342" t="s">
        <v>299</v>
      </c>
      <c r="E33" s="306"/>
      <c r="F33" s="263"/>
      <c r="G33" s="264" t="s">
        <v>64</v>
      </c>
      <c r="H33" s="275" t="s">
        <v>65</v>
      </c>
      <c r="I33" s="275" t="s">
        <v>66</v>
      </c>
      <c r="J33" s="343" t="s">
        <v>300</v>
      </c>
      <c r="K33" s="300"/>
    </row>
    <row r="34" spans="1:11" ht="118.8" customHeight="1" x14ac:dyDescent="0.3">
      <c r="A34" s="264" t="s">
        <v>21</v>
      </c>
      <c r="B34" s="276" t="s">
        <v>27</v>
      </c>
      <c r="C34" s="276" t="s">
        <v>3</v>
      </c>
      <c r="D34" s="342" t="s">
        <v>301</v>
      </c>
      <c r="E34" s="306"/>
      <c r="F34" s="263"/>
      <c r="G34" s="304" t="s">
        <v>67</v>
      </c>
      <c r="H34" s="302" t="s">
        <v>68</v>
      </c>
      <c r="I34" s="302" t="s">
        <v>69</v>
      </c>
      <c r="J34" s="343" t="s">
        <v>302</v>
      </c>
      <c r="K34" s="300"/>
    </row>
    <row r="35" spans="1:11" ht="115.8" customHeight="1" thickBot="1" x14ac:dyDescent="0.35">
      <c r="A35" s="266" t="s">
        <v>22</v>
      </c>
      <c r="B35" s="277" t="s">
        <v>28</v>
      </c>
      <c r="C35" s="277" t="s">
        <v>23</v>
      </c>
      <c r="D35" s="348" t="s">
        <v>303</v>
      </c>
      <c r="E35" s="307"/>
      <c r="F35" s="263"/>
      <c r="G35" s="305"/>
      <c r="H35" s="303"/>
      <c r="I35" s="303"/>
      <c r="J35" s="341"/>
      <c r="K35" s="301"/>
    </row>
    <row r="36" spans="1:11" ht="14.4" thickTop="1" x14ac:dyDescent="0.3"/>
  </sheetData>
  <mergeCells count="45">
    <mergeCell ref="B28:E28"/>
    <mergeCell ref="H28:K28"/>
    <mergeCell ref="D30:E30"/>
    <mergeCell ref="J30:K30"/>
    <mergeCell ref="B16:E16"/>
    <mergeCell ref="H16:K16"/>
    <mergeCell ref="B25:E25"/>
    <mergeCell ref="H25:K25"/>
    <mergeCell ref="B26:E26"/>
    <mergeCell ref="H26:K26"/>
    <mergeCell ref="B27:E27"/>
    <mergeCell ref="H27:K27"/>
    <mergeCell ref="B21:E21"/>
    <mergeCell ref="H21:K21"/>
    <mergeCell ref="B22:E22"/>
    <mergeCell ref="H22:K22"/>
    <mergeCell ref="B23:E23"/>
    <mergeCell ref="H23:K23"/>
    <mergeCell ref="B18:E18"/>
    <mergeCell ref="H18:K18"/>
    <mergeCell ref="B20:E20"/>
    <mergeCell ref="H20:K20"/>
    <mergeCell ref="B17:E17"/>
    <mergeCell ref="H17:K17"/>
    <mergeCell ref="H10:K10"/>
    <mergeCell ref="B11:E11"/>
    <mergeCell ref="H11:K11"/>
    <mergeCell ref="B15:E15"/>
    <mergeCell ref="H15:K15"/>
    <mergeCell ref="B12:E12"/>
    <mergeCell ref="H12:K12"/>
    <mergeCell ref="B13:E13"/>
    <mergeCell ref="H13:K13"/>
    <mergeCell ref="B14:E14"/>
    <mergeCell ref="H14:K14"/>
    <mergeCell ref="A1:C6"/>
    <mergeCell ref="B9:E9"/>
    <mergeCell ref="H9:K9"/>
    <mergeCell ref="B10:E10"/>
    <mergeCell ref="K1:K2"/>
    <mergeCell ref="K3:K4"/>
    <mergeCell ref="K5:K6"/>
    <mergeCell ref="D1:J2"/>
    <mergeCell ref="D3:J4"/>
    <mergeCell ref="D5:J6"/>
  </mergeCells>
  <printOptions horizontalCentered="1" verticalCentered="1"/>
  <pageMargins left="0.70866141732283472" right="0.70866141732283472" top="0.3950892857142857" bottom="0.74803149606299213" header="0.31496062992125984" footer="0.31496062992125984"/>
  <pageSetup scale="3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2:U87"/>
  <sheetViews>
    <sheetView showGridLines="0" view="pageBreakPreview" topLeftCell="I1" zoomScale="60" zoomScaleNormal="90" zoomScalePageLayoutView="80" workbookViewId="0">
      <pane ySplit="10" topLeftCell="A11" activePane="bottomLeft" state="frozen"/>
      <selection pane="bottomLeft" activeCell="A11" sqref="A11"/>
    </sheetView>
  </sheetViews>
  <sheetFormatPr baseColWidth="10" defaultColWidth="0.6640625" defaultRowHeight="13.8" x14ac:dyDescent="0.3"/>
  <cols>
    <col min="1" max="1" width="28.88671875" style="241" customWidth="1"/>
    <col min="2" max="2" width="42.21875" style="241" customWidth="1"/>
    <col min="3" max="3" width="29.44140625" style="241" customWidth="1"/>
    <col min="4" max="7" width="18.109375" style="241" customWidth="1"/>
    <col min="8" max="8" width="20.6640625" style="241" customWidth="1"/>
    <col min="9" max="9" width="18.33203125" style="241" customWidth="1"/>
    <col min="10" max="10" width="17.109375" style="241" customWidth="1"/>
    <col min="11" max="14" width="15.6640625" style="241" customWidth="1"/>
    <col min="15" max="15" width="17.44140625" style="241" customWidth="1"/>
    <col min="16" max="17" width="23" style="241" customWidth="1"/>
    <col min="18" max="18" width="18.109375" style="241" customWidth="1"/>
    <col min="19" max="19" width="21.88671875" style="241" customWidth="1"/>
    <col min="20" max="20" width="37" style="241" customWidth="1"/>
    <col min="21" max="21" width="70.44140625" style="242" customWidth="1"/>
    <col min="22" max="22" width="0.6640625" style="241"/>
    <col min="23" max="23" width="20.6640625" style="241" customWidth="1"/>
    <col min="24" max="16384" width="0.6640625" style="241"/>
  </cols>
  <sheetData>
    <row r="2" spans="1:21" ht="15" customHeight="1" x14ac:dyDescent="0.3">
      <c r="A2" s="586"/>
      <c r="B2" s="568" t="s">
        <v>277</v>
      </c>
      <c r="C2" s="568"/>
      <c r="D2" s="568"/>
      <c r="E2" s="568"/>
      <c r="F2" s="568"/>
      <c r="G2" s="568" t="s">
        <v>340</v>
      </c>
      <c r="H2" s="568"/>
    </row>
    <row r="3" spans="1:21" ht="15" customHeight="1" x14ac:dyDescent="0.3">
      <c r="A3" s="587"/>
      <c r="B3" s="568"/>
      <c r="C3" s="568"/>
      <c r="D3" s="568"/>
      <c r="E3" s="568"/>
      <c r="F3" s="568"/>
      <c r="G3" s="568"/>
      <c r="H3" s="568"/>
    </row>
    <row r="4" spans="1:21" ht="15" customHeight="1" x14ac:dyDescent="0.3">
      <c r="A4" s="587"/>
      <c r="B4" s="568" t="s">
        <v>177</v>
      </c>
      <c r="C4" s="568"/>
      <c r="D4" s="568"/>
      <c r="E4" s="568"/>
      <c r="F4" s="568"/>
      <c r="G4" s="568" t="s">
        <v>196</v>
      </c>
      <c r="H4" s="568"/>
    </row>
    <row r="5" spans="1:21" ht="15" customHeight="1" x14ac:dyDescent="0.3">
      <c r="A5" s="587"/>
      <c r="B5" s="568"/>
      <c r="C5" s="568"/>
      <c r="D5" s="568"/>
      <c r="E5" s="568"/>
      <c r="F5" s="568"/>
      <c r="G5" s="568"/>
      <c r="H5" s="568"/>
    </row>
    <row r="6" spans="1:21" ht="15" customHeight="1" x14ac:dyDescent="0.3">
      <c r="A6" s="587"/>
      <c r="B6" s="568" t="s">
        <v>137</v>
      </c>
      <c r="C6" s="568"/>
      <c r="D6" s="568"/>
      <c r="E6" s="568"/>
      <c r="F6" s="568"/>
      <c r="G6" s="569">
        <v>44279</v>
      </c>
      <c r="H6" s="569"/>
    </row>
    <row r="7" spans="1:21" ht="15" customHeight="1" x14ac:dyDescent="0.3">
      <c r="A7" s="588"/>
      <c r="B7" s="568"/>
      <c r="C7" s="568"/>
      <c r="D7" s="568"/>
      <c r="E7" s="568"/>
      <c r="F7" s="568"/>
      <c r="G7" s="569"/>
      <c r="H7" s="569"/>
    </row>
    <row r="8" spans="1:21" ht="15" customHeight="1" thickBot="1" x14ac:dyDescent="0.35">
      <c r="A8" s="243"/>
      <c r="B8" s="239"/>
      <c r="C8" s="239"/>
      <c r="D8" s="239"/>
      <c r="E8" s="239"/>
      <c r="F8" s="239"/>
      <c r="G8" s="240"/>
      <c r="H8" s="240"/>
    </row>
    <row r="9" spans="1:21" ht="18.600000000000001" customHeight="1" thickTop="1" x14ac:dyDescent="0.3">
      <c r="A9" s="589" t="s">
        <v>51</v>
      </c>
      <c r="B9" s="591" t="s">
        <v>53</v>
      </c>
      <c r="C9" s="591" t="s">
        <v>45</v>
      </c>
      <c r="D9" s="598" t="s">
        <v>52</v>
      </c>
      <c r="E9" s="599"/>
      <c r="F9" s="599"/>
      <c r="G9" s="599"/>
      <c r="H9" s="599"/>
      <c r="I9" s="599"/>
      <c r="J9" s="599"/>
      <c r="K9" s="599"/>
      <c r="L9" s="599"/>
      <c r="M9" s="599"/>
      <c r="N9" s="600"/>
      <c r="O9" s="593" t="s">
        <v>46</v>
      </c>
      <c r="P9" s="593" t="s">
        <v>47</v>
      </c>
      <c r="Q9" s="593" t="s">
        <v>48</v>
      </c>
      <c r="R9" s="596" t="s">
        <v>54</v>
      </c>
      <c r="S9" s="593" t="s">
        <v>49</v>
      </c>
      <c r="T9" s="593" t="s">
        <v>50</v>
      </c>
      <c r="U9" s="594" t="s">
        <v>265</v>
      </c>
    </row>
    <row r="10" spans="1:21" ht="65.099999999999994" customHeight="1" thickBot="1" x14ac:dyDescent="0.35">
      <c r="A10" s="590"/>
      <c r="B10" s="592"/>
      <c r="C10" s="592"/>
      <c r="D10" s="244" t="s">
        <v>197</v>
      </c>
      <c r="E10" s="244" t="s">
        <v>198</v>
      </c>
      <c r="F10" s="244" t="s">
        <v>199</v>
      </c>
      <c r="G10" s="244" t="s">
        <v>200</v>
      </c>
      <c r="H10" s="244" t="s">
        <v>201</v>
      </c>
      <c r="I10" s="244" t="s">
        <v>305</v>
      </c>
      <c r="J10" s="244" t="s">
        <v>202</v>
      </c>
      <c r="K10" s="244" t="s">
        <v>203</v>
      </c>
      <c r="L10" s="244" t="s">
        <v>306</v>
      </c>
      <c r="M10" s="244" t="s">
        <v>266</v>
      </c>
      <c r="N10" s="257" t="s">
        <v>224</v>
      </c>
      <c r="O10" s="592"/>
      <c r="P10" s="592"/>
      <c r="Q10" s="592"/>
      <c r="R10" s="597"/>
      <c r="S10" s="592"/>
      <c r="T10" s="592"/>
      <c r="U10" s="595"/>
    </row>
    <row r="11" spans="1:21" ht="100.2" customHeight="1" thickTop="1" x14ac:dyDescent="0.3">
      <c r="A11" s="250" t="s">
        <v>33</v>
      </c>
      <c r="B11" s="251" t="str">
        <f>'2a. Análisis Foda'!B9:E9</f>
        <v>Experiencia acumulada del personal.</v>
      </c>
      <c r="C11" s="252" t="s">
        <v>74</v>
      </c>
      <c r="D11" s="252" t="s">
        <v>79</v>
      </c>
      <c r="E11" s="252" t="s">
        <v>79</v>
      </c>
      <c r="F11" s="252" t="s">
        <v>79</v>
      </c>
      <c r="G11" s="252" t="s">
        <v>79</v>
      </c>
      <c r="H11" s="252" t="s">
        <v>79</v>
      </c>
      <c r="I11" s="252"/>
      <c r="J11" s="252"/>
      <c r="K11" s="252"/>
      <c r="L11" s="252"/>
      <c r="M11" s="252"/>
      <c r="N11" s="283"/>
      <c r="O11" s="246" t="s">
        <v>5</v>
      </c>
      <c r="P11" s="246" t="s">
        <v>16</v>
      </c>
      <c r="Q11" s="246" t="s">
        <v>218</v>
      </c>
      <c r="R11" s="247">
        <f>IFERROR(VLOOKUP(O11,Naturaleza,2,FALSE)*VLOOKUP('4b. Matriz - Contexto'!P11,Probabilidad,2,FALSE)*VLOOKUP('4b. Matriz - Contexto'!Q11,Severidad,2,FALSE),"")</f>
        <v>700</v>
      </c>
      <c r="S11" s="248" t="str">
        <f t="shared" ref="S11:S42" si="0">IF(A11="Debilidad",IF(R11="","",IF(AND(R11&gt;0,R11&lt;200),"Trivial",IF(OR(R11=200,AND(R11&gt;200,R11&lt;400)),"Tolerable",IF(OR(R11=400,AND(R11&gt;400,R11&lt;600)),"Moderado",IF(OR(R11=600,AND(R11&gt;600,R11&lt;800)),"Importante",IF(OR(R11=800,R11&gt;800,R11&lt;1000,R11=1000),"Intolerable","")))))),IF(A11="Amenaza",IF(R11="","",IF(AND(R11&gt;0,R11&lt;200),"Trivial",IF(OR(R11=200,AND(R11&gt;200,R11&lt;400)),"Tolerable",IF(OR(R11=400,AND(R11&gt;400,R11&lt;600)),"Moderado",IF(OR(R11=600,AND(R11&gt;600,R11&lt;800)),"Importante",IF(OR(R11=800,R11&gt;800,R11&lt;1000,R11=1000),"Intolerable","")))))),IF(A11="Fortaleza",IF(R11="","",IF(AND(R11&gt;0,R11&lt;250),"Limitada",IF(OR(R11=250,AND(R11&gt;250,R11&lt;500)),"Media",IF(OR(R11=500,AND(R11&gt;500,R11&lt;750)),"Potencial",IF(OR(R11=750,AND(R11&gt;750,R11&lt;=1000)),"Sobresaliente", ""))))), IF(A11="Oportunidad",IF(R11="","",IF(AND(R11&gt;0,R11&lt;250),"Limitada",IF(OR(R11=250,AND(R11&gt;250,R11&lt;500)),"Media",IF(OR(R11=500,AND(R11&gt;500,R11&lt;750)),"Potencial",IF(OR(R11=750,AND(R11&gt;750,R11&lt;=1000)),"Sobresaliente",""))))),""))))</f>
        <v>Potencial</v>
      </c>
      <c r="T11" s="247" t="str">
        <f>IFERROR(VLOOKUP(S11,'4a. Parámetros de riesgo'!$B$31:$C$35,2,FALSE),IFERROR(VLOOKUP(S11,'4a. Parámetros de riesgo'!$H$31:$I$35,2,FALSE),""))</f>
        <v>APROPIARSE</v>
      </c>
      <c r="U11" s="249" t="str">
        <f>IFERROR(VLOOKUP(T11,'4a. Parámetros de riesgo'!$C$31:$D$35,2,FALSE),IFERROR(VLOOKUP(T11,'4a. Parámetros de riesgo'!$I$31:$J$35,2,FALSE),""))</f>
        <v>Oportunidad con beneficios claros y específicos en los procesos de una o varias áreas de la Delegación INE Puebla, el SGC y/o Partes Interesadas, de la cual se espera un resultado a corto y mediano plazo.</v>
      </c>
    </row>
    <row r="12" spans="1:21" ht="150" customHeight="1" x14ac:dyDescent="0.3">
      <c r="A12" s="250" t="s">
        <v>33</v>
      </c>
      <c r="B12" s="251" t="str">
        <f>'2a. Análisis Foda'!B10:E10</f>
        <v>Capacitación constante al personal de MAC´s relativa a los procedimientos operativos.</v>
      </c>
      <c r="C12" s="252" t="s">
        <v>74</v>
      </c>
      <c r="D12" s="252"/>
      <c r="E12" s="252"/>
      <c r="F12" s="252"/>
      <c r="G12" s="252"/>
      <c r="H12" s="252"/>
      <c r="I12" s="252"/>
      <c r="J12" s="252" t="s">
        <v>79</v>
      </c>
      <c r="K12" s="252"/>
      <c r="L12" s="252"/>
      <c r="M12" s="252"/>
      <c r="N12" s="283"/>
      <c r="O12" s="246" t="s">
        <v>5</v>
      </c>
      <c r="P12" s="246" t="s">
        <v>16</v>
      </c>
      <c r="Q12" s="246" t="s">
        <v>218</v>
      </c>
      <c r="R12" s="248">
        <f>IFERROR(VLOOKUP(O12,Naturaleza,2,FALSE)*VLOOKUP('4b. Matriz - Contexto'!P12,Probabilidad,2,FALSE)*VLOOKUP('4b. Matriz - Contexto'!Q12,Severidad,2,FALSE),"")</f>
        <v>700</v>
      </c>
      <c r="S12" s="253" t="str">
        <f t="shared" si="0"/>
        <v>Potencial</v>
      </c>
      <c r="T12" s="247" t="str">
        <f>IFERROR(VLOOKUP(S12,'4a. Parámetros de riesgo'!$B$31:$C$35,2,FALSE),IFERROR(VLOOKUP(S12,'4a. Parámetros de riesgo'!$H$31:$I$35,2,FALSE),""))</f>
        <v>APROPIARSE</v>
      </c>
      <c r="U12" s="249" t="str">
        <f>IFERROR(VLOOKUP(T12,'4a. Parámetros de riesgo'!$C$31:$D$35,2,FALSE),IFERROR(VLOOKUP(T12,'4a. Parámetros de riesgo'!$I$31:$J$35,2,FALSE),""))</f>
        <v>Oportunidad con beneficios claros y específicos en los procesos de una o varias áreas de la Delegación INE Puebla, el SGC y/o Partes Interesadas, de la cual se espera un resultado a corto y mediano plazo.</v>
      </c>
    </row>
    <row r="13" spans="1:21" ht="100.2" customHeight="1" x14ac:dyDescent="0.3">
      <c r="A13" s="250" t="s">
        <v>33</v>
      </c>
      <c r="B13" s="251" t="str">
        <f>'2a. Análisis Foda'!B11:E11</f>
        <v>Procedimientos estandarizados para la operación de los MAC´s a través del Sistema Integral de Información del Registro Federal de Electores (SIIRFE), las Instrucciones de Trabajo y del Sistema de Gestión de la Calidad.</v>
      </c>
      <c r="C13" s="252" t="s">
        <v>74</v>
      </c>
      <c r="D13" s="252" t="s">
        <v>79</v>
      </c>
      <c r="E13" s="252" t="s">
        <v>79</v>
      </c>
      <c r="F13" s="252" t="s">
        <v>79</v>
      </c>
      <c r="G13" s="252" t="s">
        <v>79</v>
      </c>
      <c r="H13" s="252" t="s">
        <v>79</v>
      </c>
      <c r="I13" s="252"/>
      <c r="J13" s="252"/>
      <c r="K13" s="252"/>
      <c r="L13" s="252"/>
      <c r="M13" s="252"/>
      <c r="N13" s="283"/>
      <c r="O13" s="246" t="s">
        <v>5</v>
      </c>
      <c r="P13" s="246" t="s">
        <v>13</v>
      </c>
      <c r="Q13" s="246" t="s">
        <v>218</v>
      </c>
      <c r="R13" s="248">
        <f>IFERROR(VLOOKUP(O13,Naturaleza,2,FALSE)*VLOOKUP('4b. Matriz - Contexto'!P13,Probabilidad,2,FALSE)*VLOOKUP('4b. Matriz - Contexto'!Q13,Severidad,2,FALSE),"")</f>
        <v>1000</v>
      </c>
      <c r="S13" s="253" t="str">
        <f t="shared" si="0"/>
        <v>Sobresaliente</v>
      </c>
      <c r="T13" s="247" t="str">
        <f>IFERROR(VLOOKUP(S13,'4a. Parámetros de riesgo'!$B$31:$C$35,2,FALSE),IFERROR(VLOOKUP(S13,'4a. Parámetros de riesgo'!$H$31:$I$35,2,FALSE),""))</f>
        <v>EXPLOTARLA</v>
      </c>
      <c r="U13" s="249" t="str">
        <f>IFERROR(VLOOKUP(T13,'4a. Parámetros de riesgo'!$C$31:$D$35,2,FALSE),IFERROR(VLOOKUP(T13,'4a. Parámetros de riesgo'!$I$31:$J$35,2,FALSE),""))</f>
        <v>Oportunidad con beneficios claros, generales y específicos en los procesos de varias o todas las áreas de la Delegación INE Puebla, el SGC y/o Partes Interesadas de la cual se obtiene un resultado a corto, mediano y/o largo plazo.</v>
      </c>
    </row>
    <row r="14" spans="1:21" ht="100.2" customHeight="1" x14ac:dyDescent="0.3">
      <c r="A14" s="250" t="s">
        <v>33</v>
      </c>
      <c r="B14" s="251" t="str">
        <f>'2a. Análisis Foda'!B12:E12</f>
        <v>Infraestructura tecnológica y de movilidad suficiente para la operación de MAC´s.</v>
      </c>
      <c r="C14" s="252" t="s">
        <v>74</v>
      </c>
      <c r="D14" s="252"/>
      <c r="E14" s="252"/>
      <c r="F14" s="252"/>
      <c r="G14" s="252"/>
      <c r="H14" s="252"/>
      <c r="I14" s="252"/>
      <c r="J14" s="252"/>
      <c r="K14" s="252"/>
      <c r="L14" s="252"/>
      <c r="M14" s="252" t="s">
        <v>79</v>
      </c>
      <c r="N14" s="283"/>
      <c r="O14" s="246" t="s">
        <v>5</v>
      </c>
      <c r="P14" s="246" t="s">
        <v>16</v>
      </c>
      <c r="Q14" s="246" t="s">
        <v>218</v>
      </c>
      <c r="R14" s="248">
        <f>IFERROR(VLOOKUP(O14,Naturaleza,2,FALSE)*VLOOKUP('4b. Matriz - Contexto'!P14,Probabilidad,2,FALSE)*VLOOKUP('4b. Matriz - Contexto'!Q14,Severidad,2,FALSE),"")</f>
        <v>700</v>
      </c>
      <c r="S14" s="253" t="str">
        <f t="shared" si="0"/>
        <v>Potencial</v>
      </c>
      <c r="T14" s="247" t="str">
        <f>IFERROR(VLOOKUP(S14,'4a. Parámetros de riesgo'!$B$31:$C$35,2,FALSE),IFERROR(VLOOKUP(S14,'4a. Parámetros de riesgo'!$H$31:$I$35,2,FALSE),""))</f>
        <v>APROPIARSE</v>
      </c>
      <c r="U14" s="249" t="str">
        <f>IFERROR(VLOOKUP(T14,'4a. Parámetros de riesgo'!$C$31:$D$35,2,FALSE),IFERROR(VLOOKUP(T14,'4a. Parámetros de riesgo'!$I$31:$J$35,2,FALSE),""))</f>
        <v>Oportunidad con beneficios claros y específicos en los procesos de una o varias áreas de la Delegación INE Puebla, el SGC y/o Partes Interesadas, de la cual se espera un resultado a corto y mediano plazo.</v>
      </c>
    </row>
    <row r="15" spans="1:21" ht="100.2" customHeight="1" x14ac:dyDescent="0.3">
      <c r="A15" s="250" t="s">
        <v>33</v>
      </c>
      <c r="B15" s="251" t="str">
        <f>'2a. Análisis Foda'!B13:E13</f>
        <v xml:space="preserve">Aplicación de programas de Depuración al Padrón Electoral con la exclusión de las y los ciudadanos fallecidos, suspendidos en sus Derechos Político-Electorales, duplicados, con datos presuntamente irregulares, pérdida de vigencia de la credencial y aplicación del artículo 155 de la LGIPE. </v>
      </c>
      <c r="C15" s="252" t="s">
        <v>74</v>
      </c>
      <c r="D15" s="252" t="s">
        <v>79</v>
      </c>
      <c r="E15" s="252" t="s">
        <v>79</v>
      </c>
      <c r="F15" s="252" t="s">
        <v>79</v>
      </c>
      <c r="G15" s="252" t="s">
        <v>79</v>
      </c>
      <c r="H15" s="252" t="s">
        <v>79</v>
      </c>
      <c r="I15" s="252"/>
      <c r="J15" s="252"/>
      <c r="K15" s="252"/>
      <c r="L15" s="252"/>
      <c r="M15" s="252"/>
      <c r="N15" s="283"/>
      <c r="O15" s="246" t="s">
        <v>5</v>
      </c>
      <c r="P15" s="246" t="s">
        <v>16</v>
      </c>
      <c r="Q15" s="246" t="s">
        <v>218</v>
      </c>
      <c r="R15" s="248">
        <f>IFERROR(VLOOKUP(O15,Naturaleza,2,FALSE)*VLOOKUP('4b. Matriz - Contexto'!P15,Probabilidad,2,FALSE)*VLOOKUP('4b. Matriz - Contexto'!Q15,Severidad,2,FALSE),"")</f>
        <v>700</v>
      </c>
      <c r="S15" s="253" t="str">
        <f t="shared" si="0"/>
        <v>Potencial</v>
      </c>
      <c r="T15" s="247" t="str">
        <f>IFERROR(VLOOKUP(S15,'4a. Parámetros de riesgo'!$B$31:$C$35,2,FALSE),IFERROR(VLOOKUP(S15,'4a. Parámetros de riesgo'!$H$31:$I$35,2,FALSE),""))</f>
        <v>APROPIARSE</v>
      </c>
      <c r="U15" s="249" t="str">
        <f>IFERROR(VLOOKUP(T15,'4a. Parámetros de riesgo'!$C$31:$D$35,2,FALSE),IFERROR(VLOOKUP(T15,'4a. Parámetros de riesgo'!$I$31:$J$35,2,FALSE),""))</f>
        <v>Oportunidad con beneficios claros y específicos en los procesos de una o varias áreas de la Delegación INE Puebla, el SGC y/o Partes Interesadas, de la cual se espera un resultado a corto y mediano plazo.</v>
      </c>
    </row>
    <row r="16" spans="1:21" ht="100.2" customHeight="1" x14ac:dyDescent="0.3">
      <c r="A16" s="250" t="s">
        <v>33</v>
      </c>
      <c r="B16" s="251" t="str">
        <f>'2a. Análisis Foda'!B14:E14</f>
        <v>El posicionamiento de la Credencial para Votar como el principal medio de identificación aceptado.</v>
      </c>
      <c r="C16" s="252" t="s">
        <v>74</v>
      </c>
      <c r="D16" s="252"/>
      <c r="E16" s="252"/>
      <c r="F16" s="252"/>
      <c r="G16" s="252"/>
      <c r="H16" s="252"/>
      <c r="I16" s="252"/>
      <c r="J16" s="252"/>
      <c r="K16" s="252"/>
      <c r="L16" s="252"/>
      <c r="M16" s="252"/>
      <c r="N16" s="283" t="s">
        <v>79</v>
      </c>
      <c r="O16" s="246" t="s">
        <v>219</v>
      </c>
      <c r="P16" s="246" t="s">
        <v>13</v>
      </c>
      <c r="Q16" s="246" t="s">
        <v>218</v>
      </c>
      <c r="R16" s="248">
        <f>IFERROR(VLOOKUP(O16,Naturaleza,2,FALSE)*VLOOKUP('4b. Matriz - Contexto'!P16,Probabilidad,2,FALSE)*VLOOKUP('4b. Matriz - Contexto'!Q16,Severidad,2,FALSE),"")</f>
        <v>600</v>
      </c>
      <c r="S16" s="253" t="str">
        <f t="shared" si="0"/>
        <v>Potencial</v>
      </c>
      <c r="T16" s="247" t="str">
        <f>IFERROR(VLOOKUP(S16,'4a. Parámetros de riesgo'!$B$31:$C$35,2,FALSE),IFERROR(VLOOKUP(S16,'4a. Parámetros de riesgo'!$H$31:$I$35,2,FALSE),""))</f>
        <v>APROPIARSE</v>
      </c>
      <c r="U16" s="249" t="str">
        <f>IFERROR(VLOOKUP(T16,'4a. Parámetros de riesgo'!$C$31:$D$35,2,FALSE),IFERROR(VLOOKUP(T16,'4a. Parámetros de riesgo'!$I$31:$J$35,2,FALSE),""))</f>
        <v>Oportunidad con beneficios claros y específicos en los procesos de una o varias áreas de la Delegación INE Puebla, el SGC y/o Partes Interesadas, de la cual se espera un resultado a corto y mediano plazo.</v>
      </c>
    </row>
    <row r="17" spans="1:21" ht="112.2" customHeight="1" x14ac:dyDescent="0.3">
      <c r="A17" s="250" t="s">
        <v>33</v>
      </c>
      <c r="B17" s="251" t="str">
        <f>'2a. Análisis Foda'!B15:E15</f>
        <v>Aplicación de protocolos para el regreso a la "nueva normalidad" derivada de la pandemia por COVID-19,  para la atención de grupos vulnerables y atención de la ciudadanía en un marco de no discriminación por género u orientación sexual, grupos indígenas, situación religiosa, repatriados, víctimas de violencia, etc.</v>
      </c>
      <c r="C17" s="252" t="s">
        <v>74</v>
      </c>
      <c r="D17" s="252" t="s">
        <v>79</v>
      </c>
      <c r="E17" s="252" t="s">
        <v>79</v>
      </c>
      <c r="F17" s="252" t="s">
        <v>79</v>
      </c>
      <c r="G17" s="252" t="s">
        <v>79</v>
      </c>
      <c r="H17" s="252" t="s">
        <v>79</v>
      </c>
      <c r="I17" s="252"/>
      <c r="J17" s="252"/>
      <c r="K17" s="252"/>
      <c r="L17" s="252"/>
      <c r="M17" s="252"/>
      <c r="N17" s="283"/>
      <c r="O17" s="246" t="s">
        <v>5</v>
      </c>
      <c r="P17" s="246" t="s">
        <v>13</v>
      </c>
      <c r="Q17" s="246" t="s">
        <v>218</v>
      </c>
      <c r="R17" s="248">
        <f>IFERROR(VLOOKUP(O17,Naturaleza,2,FALSE)*VLOOKUP('4b. Matriz - Contexto'!P17,Probabilidad,2,FALSE)*VLOOKUP('4b. Matriz - Contexto'!Q17,Severidad,2,FALSE),"")</f>
        <v>1000</v>
      </c>
      <c r="S17" s="253" t="str">
        <f t="shared" si="0"/>
        <v>Sobresaliente</v>
      </c>
      <c r="T17" s="247" t="str">
        <f>IFERROR(VLOOKUP(S17,'4a. Parámetros de riesgo'!$B$31:$C$35,2,FALSE),IFERROR(VLOOKUP(S17,'4a. Parámetros de riesgo'!$H$31:$I$35,2,FALSE),""))</f>
        <v>EXPLOTARLA</v>
      </c>
      <c r="U17" s="249" t="str">
        <f>IFERROR(VLOOKUP(T17,'4a. Parámetros de riesgo'!$C$31:$D$35,2,FALSE),IFERROR(VLOOKUP(T17,'4a. Parámetros de riesgo'!$I$31:$J$35,2,FALSE),""))</f>
        <v>Oportunidad con beneficios claros, generales y específicos en los procesos de varias o todas las áreas de la Delegación INE Puebla, el SGC y/o Partes Interesadas de la cual se obtiene un resultado a corto, mediano y/o largo plazo.</v>
      </c>
    </row>
    <row r="18" spans="1:21" ht="100.2" customHeight="1" x14ac:dyDescent="0.3">
      <c r="A18" s="250" t="s">
        <v>33</v>
      </c>
      <c r="B18" s="251" t="str">
        <f>'2a. Análisis Foda'!B16:E16</f>
        <v>Proceso de selección objetiva para la contratación del personal de los MAC´s.</v>
      </c>
      <c r="C18" s="252" t="s">
        <v>74</v>
      </c>
      <c r="D18" s="252"/>
      <c r="E18" s="252"/>
      <c r="F18" s="252"/>
      <c r="G18" s="252"/>
      <c r="H18" s="252"/>
      <c r="I18" s="252" t="s">
        <v>79</v>
      </c>
      <c r="J18" s="252"/>
      <c r="K18" s="252"/>
      <c r="L18" s="252"/>
      <c r="M18" s="252"/>
      <c r="N18" s="283"/>
      <c r="O18" s="246" t="s">
        <v>5</v>
      </c>
      <c r="P18" s="246" t="s">
        <v>16</v>
      </c>
      <c r="Q18" s="246" t="s">
        <v>4</v>
      </c>
      <c r="R18" s="248">
        <f>IFERROR(VLOOKUP(O18,Naturaleza,2,FALSE)*VLOOKUP('4b. Matriz - Contexto'!P18,Probabilidad,2,FALSE)*VLOOKUP('4b. Matriz - Contexto'!Q18,Severidad,2,FALSE),"")</f>
        <v>490</v>
      </c>
      <c r="S18" s="253" t="str">
        <f t="shared" si="0"/>
        <v>Media</v>
      </c>
      <c r="T18" s="247" t="str">
        <f>IFERROR(VLOOKUP(S18,'4a. Parámetros de riesgo'!$B$31:$C$35,2,FALSE),IFERROR(VLOOKUP(S18,'4a. Parámetros de riesgo'!$H$31:$I$35,2,FALSE),""))</f>
        <v>ABORDAR</v>
      </c>
      <c r="U18" s="249" t="str">
        <f>IFERROR(VLOOKUP(T18,'4a. Parámetros de riesgo'!$C$31:$D$35,2,FALSE),IFERROR(VLOOKUP(T18,'4a. Parámetros de riesgo'!$I$31:$J$35,2,FALSE),""))</f>
        <v>Oportunidad con buena posibilidad de abordarse siempre y cuando se profundice en los beneficios esperados en los procesos de una o varias áreas de la Delegación INE Puebla, el SGC y/o Partes Interesadas de la cual se espera un resultado a corto plazo.</v>
      </c>
    </row>
    <row r="19" spans="1:21" ht="100.2" customHeight="1" x14ac:dyDescent="0.3">
      <c r="A19" s="250" t="s">
        <v>33</v>
      </c>
      <c r="B19" s="251" t="str">
        <f>'2a. Análisis Foda'!B17:E17</f>
        <v>Confianza ciudadana hacia el INE.</v>
      </c>
      <c r="C19" s="252" t="s">
        <v>74</v>
      </c>
      <c r="D19" s="252"/>
      <c r="E19" s="252"/>
      <c r="F19" s="252"/>
      <c r="G19" s="252"/>
      <c r="H19" s="252"/>
      <c r="I19" s="252"/>
      <c r="J19" s="252"/>
      <c r="K19" s="252"/>
      <c r="L19" s="252"/>
      <c r="M19" s="252"/>
      <c r="N19" s="283" t="s">
        <v>79</v>
      </c>
      <c r="O19" s="246" t="s">
        <v>206</v>
      </c>
      <c r="P19" s="246" t="s">
        <v>16</v>
      </c>
      <c r="Q19" s="246" t="s">
        <v>4</v>
      </c>
      <c r="R19" s="248">
        <f>IFERROR(VLOOKUP(O19,Naturaleza,2,FALSE)*VLOOKUP('4b. Matriz - Contexto'!P19,Probabilidad,2,FALSE)*VLOOKUP('4b. Matriz - Contexto'!Q19,Severidad,2,FALSE),"")</f>
        <v>392</v>
      </c>
      <c r="S19" s="253" t="str">
        <f t="shared" si="0"/>
        <v>Media</v>
      </c>
      <c r="T19" s="247" t="str">
        <f>IFERROR(VLOOKUP(S19,'4a. Parámetros de riesgo'!$B$31:$C$35,2,FALSE),IFERROR(VLOOKUP(S19,'4a. Parámetros de riesgo'!$H$31:$I$35,2,FALSE),""))</f>
        <v>ABORDAR</v>
      </c>
      <c r="U19" s="249" t="str">
        <f>IFERROR(VLOOKUP(T19,'4a. Parámetros de riesgo'!$C$31:$D$35,2,FALSE),IFERROR(VLOOKUP(T19,'4a. Parámetros de riesgo'!$I$31:$J$35,2,FALSE),""))</f>
        <v>Oportunidad con buena posibilidad de abordarse siempre y cuando se profundice en los beneficios esperados en los procesos de una o varias áreas de la Delegación INE Puebla, el SGC y/o Partes Interesadas de la cual se espera un resultado a corto plazo.</v>
      </c>
    </row>
    <row r="20" spans="1:21" ht="100.2" customHeight="1" x14ac:dyDescent="0.3">
      <c r="A20" s="250" t="s">
        <v>33</v>
      </c>
      <c r="B20" s="251" t="str">
        <f>'2a. Análisis Foda'!B18:E18</f>
        <v>Aplicación de procedimientos en el marco de los principios rectores de certeza, legalidad y máxima publicidad, relativos al tratamiento de sus datos personales, así como las causas de improcedencia del trámite, en su caso.</v>
      </c>
      <c r="C20" s="252" t="s">
        <v>74</v>
      </c>
      <c r="D20" s="252" t="s">
        <v>79</v>
      </c>
      <c r="E20" s="252" t="s">
        <v>79</v>
      </c>
      <c r="F20" s="252" t="s">
        <v>79</v>
      </c>
      <c r="G20" s="252" t="s">
        <v>79</v>
      </c>
      <c r="H20" s="252" t="s">
        <v>79</v>
      </c>
      <c r="I20" s="252"/>
      <c r="J20" s="252"/>
      <c r="K20" s="252"/>
      <c r="L20" s="252"/>
      <c r="M20" s="252"/>
      <c r="N20" s="283"/>
      <c r="O20" s="246" t="s">
        <v>5</v>
      </c>
      <c r="P20" s="246" t="s">
        <v>16</v>
      </c>
      <c r="Q20" s="246" t="s">
        <v>218</v>
      </c>
      <c r="R20" s="248">
        <f>IFERROR(VLOOKUP(O20,Naturaleza,2,FALSE)*VLOOKUP('4b. Matriz - Contexto'!P20,Probabilidad,2,FALSE)*VLOOKUP('4b. Matriz - Contexto'!Q20,Severidad,2,FALSE),"")</f>
        <v>700</v>
      </c>
      <c r="S20" s="253" t="str">
        <f t="shared" si="0"/>
        <v>Potencial</v>
      </c>
      <c r="T20" s="247" t="str">
        <f>IFERROR(VLOOKUP(S20,'4a. Parámetros de riesgo'!$B$31:$C$35,2,FALSE),IFERROR(VLOOKUP(S20,'4a. Parámetros de riesgo'!$H$31:$I$35,2,FALSE),""))</f>
        <v>APROPIARSE</v>
      </c>
      <c r="U20" s="249" t="str">
        <f>IFERROR(VLOOKUP(T20,'4a. Parámetros de riesgo'!$C$31:$D$35,2,FALSE),IFERROR(VLOOKUP(T20,'4a. Parámetros de riesgo'!$I$31:$J$35,2,FALSE),""))</f>
        <v>Oportunidad con beneficios claros y específicos en los procesos de una o varias áreas de la Delegación INE Puebla, el SGC y/o Partes Interesadas, de la cual se espera un resultado a corto y mediano plazo.</v>
      </c>
    </row>
    <row r="21" spans="1:21" ht="100.2" customHeight="1" x14ac:dyDescent="0.3">
      <c r="A21" s="250" t="s">
        <v>31</v>
      </c>
      <c r="B21" s="251" t="str">
        <f>'2a. Análisis Foda'!L9:L9</f>
        <v>Falta de información en los MAC´s, del estatus del trámite de la Credencial para Votar, lo cual impide dar una orientación y respuesta oportuna a la ciudadanía.</v>
      </c>
      <c r="C21" s="252" t="s">
        <v>117</v>
      </c>
      <c r="D21" s="252" t="s">
        <v>79</v>
      </c>
      <c r="E21" s="252"/>
      <c r="F21" s="252"/>
      <c r="G21" s="252"/>
      <c r="H21" s="252" t="s">
        <v>79</v>
      </c>
      <c r="I21" s="252"/>
      <c r="J21" s="252"/>
      <c r="K21" s="252"/>
      <c r="L21" s="252"/>
      <c r="M21" s="252"/>
      <c r="N21" s="283"/>
      <c r="O21" s="246" t="s">
        <v>222</v>
      </c>
      <c r="P21" s="246" t="s">
        <v>16</v>
      </c>
      <c r="Q21" s="246" t="s">
        <v>4</v>
      </c>
      <c r="R21" s="248">
        <f>IFERROR(VLOOKUP(O21,Naturaleza,2,FALSE)*VLOOKUP('4b. Matriz - Contexto'!P21,Probabilidad,2,FALSE)*VLOOKUP('4b. Matriz - Contexto'!Q21,Severidad,2,FALSE),"")</f>
        <v>294</v>
      </c>
      <c r="S21" s="253" t="str">
        <f t="shared" si="0"/>
        <v>Tolerable</v>
      </c>
      <c r="T21" s="247" t="str">
        <f>IFERROR(VLOOKUP(S21,'4a. Parámetros de riesgo'!$B$31:$C$35,2,FALSE),IFERROR(VLOOKUP(S21,'4a. Parámetros de riesgo'!$H$31:$I$35,2,FALSE),""))</f>
        <v>ASUMIRLO</v>
      </c>
      <c r="U21" s="249" t="str">
        <f>IFERROR(VLOOKUP(T21,'4a. Parámetros de riesgo'!$C$31:$D$35,2,FALSE),IFERROR(VLOOKUP(T21,'4a. Parámetros de riesgo'!$I$31:$J$35,2,FALSE),""))</f>
        <v>Monitorear el riesgo, afecta mínimamente la secuencia y la integridad de los procesos de una o varias áreas de la Delegación INE Puebla, el SGC y/o Partes Interesadas.</v>
      </c>
    </row>
    <row r="22" spans="1:21" ht="100.2" customHeight="1" x14ac:dyDescent="0.3">
      <c r="A22" s="250" t="s">
        <v>31</v>
      </c>
      <c r="B22" s="251" t="str">
        <f>'2a. Análisis Foda'!L10:L10</f>
        <v>Falta de sustitución oportuna de periféricos en Módulos de Atención Ciudadana.</v>
      </c>
      <c r="C22" s="252" t="s">
        <v>117</v>
      </c>
      <c r="D22" s="252"/>
      <c r="E22" s="252"/>
      <c r="F22" s="252"/>
      <c r="G22" s="252"/>
      <c r="H22" s="252"/>
      <c r="I22" s="252"/>
      <c r="J22" s="252"/>
      <c r="K22" s="252"/>
      <c r="L22" s="252"/>
      <c r="M22" s="252" t="s">
        <v>79</v>
      </c>
      <c r="N22" s="283"/>
      <c r="O22" s="246" t="s">
        <v>222</v>
      </c>
      <c r="P22" s="246" t="s">
        <v>16</v>
      </c>
      <c r="Q22" s="246" t="s">
        <v>4</v>
      </c>
      <c r="R22" s="248">
        <f>IFERROR(VLOOKUP(O22,Naturaleza,2,FALSE)*VLOOKUP('4b. Matriz - Contexto'!P22,Probabilidad,2,FALSE)*VLOOKUP('4b. Matriz - Contexto'!Q22,Severidad,2,FALSE),"")</f>
        <v>294</v>
      </c>
      <c r="S22" s="253" t="str">
        <f t="shared" si="0"/>
        <v>Tolerable</v>
      </c>
      <c r="T22" s="247" t="str">
        <f>IFERROR(VLOOKUP(S22,'4a. Parámetros de riesgo'!$B$31:$C$35,2,FALSE),IFERROR(VLOOKUP(S22,'4a. Parámetros de riesgo'!$H$31:$I$35,2,FALSE),""))</f>
        <v>ASUMIRLO</v>
      </c>
      <c r="U22" s="249" t="str">
        <f>IFERROR(VLOOKUP(T22,'4a. Parámetros de riesgo'!$C$31:$D$35,2,FALSE),IFERROR(VLOOKUP(T22,'4a. Parámetros de riesgo'!$I$31:$J$35,2,FALSE),""))</f>
        <v>Monitorear el riesgo, afecta mínimamente la secuencia y la integridad de los procesos de una o varias áreas de la Delegación INE Puebla, el SGC y/o Partes Interesadas.</v>
      </c>
    </row>
    <row r="23" spans="1:21" ht="100.2" customHeight="1" x14ac:dyDescent="0.3">
      <c r="A23" s="250" t="s">
        <v>31</v>
      </c>
      <c r="B23" s="251" t="str">
        <f>'2a. Análisis Foda'!L11:L11</f>
        <v>Impacto negativo por las fallas en la actualización de las versiones de SIIRFE.</v>
      </c>
      <c r="C23" s="252" t="s">
        <v>117</v>
      </c>
      <c r="D23" s="252" t="s">
        <v>79</v>
      </c>
      <c r="E23" s="252" t="s">
        <v>79</v>
      </c>
      <c r="F23" s="252" t="s">
        <v>79</v>
      </c>
      <c r="G23" s="252" t="s">
        <v>79</v>
      </c>
      <c r="H23" s="252" t="s">
        <v>79</v>
      </c>
      <c r="I23" s="252"/>
      <c r="J23" s="252"/>
      <c r="K23" s="252"/>
      <c r="L23" s="252"/>
      <c r="M23" s="252"/>
      <c r="N23" s="283"/>
      <c r="O23" s="246" t="s">
        <v>222</v>
      </c>
      <c r="P23" s="246" t="s">
        <v>17</v>
      </c>
      <c r="Q23" s="246" t="s">
        <v>208</v>
      </c>
      <c r="R23" s="248">
        <f>IFERROR(VLOOKUP(O23,Naturaleza,2,FALSE)*VLOOKUP('4b. Matriz - Contexto'!P23,Probabilidad,2,FALSE)*VLOOKUP('4b. Matriz - Contexto'!Q23,Severidad,2,FALSE),"")</f>
        <v>6</v>
      </c>
      <c r="S23" s="253" t="str">
        <f t="shared" si="0"/>
        <v>Trivial</v>
      </c>
      <c r="T23" s="247" t="str">
        <f>IFERROR(VLOOKUP(S23,'4a. Parámetros de riesgo'!$B$31:$C$35,2,FALSE),IFERROR(VLOOKUP(S23,'4a. Parámetros de riesgo'!$H$31:$I$35,2,FALSE),""))</f>
        <v>VIGILARLO</v>
      </c>
      <c r="U23" s="249" t="str">
        <f>IFERROR(VLOOKUP(T23,'4a. Parámetros de riesgo'!$C$31:$D$35,2,FALSE),IFERROR(VLOOKUP(T23,'4a. Parámetros de riesgo'!$I$31:$J$35,2,FALSE),""))</f>
        <v>Control rutinario, no afecta la secuencia e integridad de los procesos de una o varias áreas de la Delegación INE Puebla, el SGC y/o Partes Interesadas.</v>
      </c>
    </row>
    <row r="24" spans="1:21" ht="100.2" customHeight="1" x14ac:dyDescent="0.3">
      <c r="A24" s="250" t="s">
        <v>31</v>
      </c>
      <c r="B24" s="251" t="str">
        <f>'2a. Análisis Foda'!L12:L12</f>
        <v>Insuficiencia en los montos de gasto de campo y radicación oportuna.</v>
      </c>
      <c r="C24" s="252" t="s">
        <v>117</v>
      </c>
      <c r="D24" s="252"/>
      <c r="E24" s="252"/>
      <c r="F24" s="252"/>
      <c r="G24" s="252"/>
      <c r="H24" s="252"/>
      <c r="I24" s="252"/>
      <c r="J24" s="252"/>
      <c r="K24" s="252"/>
      <c r="L24" s="252"/>
      <c r="M24" s="252"/>
      <c r="N24" s="283" t="s">
        <v>79</v>
      </c>
      <c r="O24" s="246" t="s">
        <v>7</v>
      </c>
      <c r="P24" s="246" t="s">
        <v>17</v>
      </c>
      <c r="Q24" s="246" t="s">
        <v>4</v>
      </c>
      <c r="R24" s="248">
        <f>IFERROR(VLOOKUP(O24,Naturaleza,2,FALSE)*VLOOKUP('4b. Matriz - Contexto'!P24,Probabilidad,2,FALSE)*VLOOKUP('4b. Matriz - Contexto'!Q24,Severidad,2,FALSE),"")</f>
        <v>49</v>
      </c>
      <c r="S24" s="253" t="str">
        <f t="shared" si="0"/>
        <v>Trivial</v>
      </c>
      <c r="T24" s="247" t="str">
        <f>IFERROR(VLOOKUP(S24,'4a. Parámetros de riesgo'!$B$31:$C$35,2,FALSE),IFERROR(VLOOKUP(S24,'4a. Parámetros de riesgo'!$H$31:$I$35,2,FALSE),""))</f>
        <v>VIGILARLO</v>
      </c>
      <c r="U24" s="249" t="str">
        <f>IFERROR(VLOOKUP(T24,'4a. Parámetros de riesgo'!$C$31:$D$35,2,FALSE),IFERROR(VLOOKUP(T24,'4a. Parámetros de riesgo'!$I$31:$J$35,2,FALSE),""))</f>
        <v>Control rutinario, no afecta la secuencia e integridad de los procesos de una o varias áreas de la Delegación INE Puebla, el SGC y/o Partes Interesadas.</v>
      </c>
    </row>
    <row r="25" spans="1:21" ht="100.2" customHeight="1" x14ac:dyDescent="0.3">
      <c r="A25" s="250" t="s">
        <v>31</v>
      </c>
      <c r="B25" s="251" t="str">
        <f>'2a. Análisis Foda'!L13:L13</f>
        <v>Falta de diseño y elaboración de mensajes y materiales para la difusión de los medios de identificación para el trámite de la Credencial para Votar.</v>
      </c>
      <c r="C25" s="252" t="s">
        <v>117</v>
      </c>
      <c r="D25" s="246" t="s">
        <v>79</v>
      </c>
      <c r="E25" s="246"/>
      <c r="F25" s="246"/>
      <c r="G25" s="246"/>
      <c r="H25" s="246"/>
      <c r="I25" s="254"/>
      <c r="J25" s="254"/>
      <c r="K25" s="254"/>
      <c r="L25" s="254"/>
      <c r="M25" s="254"/>
      <c r="N25" s="284"/>
      <c r="O25" s="246" t="s">
        <v>5</v>
      </c>
      <c r="P25" s="246" t="s">
        <v>17</v>
      </c>
      <c r="Q25" s="246" t="s">
        <v>4</v>
      </c>
      <c r="R25" s="248">
        <f>IFERROR(VLOOKUP(O25,Naturaleza,2,FALSE)*VLOOKUP('4b. Matriz - Contexto'!P25,Probabilidad,2,FALSE)*VLOOKUP('4b. Matriz - Contexto'!Q25,Severidad,2,FALSE),"")</f>
        <v>70</v>
      </c>
      <c r="S25" s="253" t="str">
        <f t="shared" si="0"/>
        <v>Trivial</v>
      </c>
      <c r="T25" s="247" t="str">
        <f>IFERROR(VLOOKUP(S25,'4a. Parámetros de riesgo'!$B$31:$C$35,2,FALSE),IFERROR(VLOOKUP(S25,'4a. Parámetros de riesgo'!$H$31:$I$35,2,FALSE),""))</f>
        <v>VIGILARLO</v>
      </c>
      <c r="U25" s="249" t="str">
        <f>IFERROR(VLOOKUP(T25,'4a. Parámetros de riesgo'!$C$31:$D$35,2,FALSE),IFERROR(VLOOKUP(T25,'4a. Parámetros de riesgo'!$I$31:$J$35,2,FALSE),""))</f>
        <v>Control rutinario, no afecta la secuencia e integridad de los procesos de una o varias áreas de la Delegación INE Puebla, el SGC y/o Partes Interesadas.</v>
      </c>
    </row>
    <row r="26" spans="1:21" ht="100.2" customHeight="1" x14ac:dyDescent="0.3">
      <c r="A26" s="250" t="s">
        <v>31</v>
      </c>
      <c r="B26" s="251" t="str">
        <f>'2a. Análisis Foda'!L14:L14</f>
        <v>Deficiencia en las campañas de difusión del Registro Federal de Electores en medios de comunicación.</v>
      </c>
      <c r="C26" s="252" t="s">
        <v>117</v>
      </c>
      <c r="D26" s="252" t="s">
        <v>79</v>
      </c>
      <c r="E26" s="252"/>
      <c r="F26" s="252"/>
      <c r="G26" s="252"/>
      <c r="H26" s="252"/>
      <c r="I26" s="252"/>
      <c r="J26" s="252"/>
      <c r="K26" s="252"/>
      <c r="L26" s="252"/>
      <c r="M26" s="252"/>
      <c r="N26" s="283"/>
      <c r="O26" s="246" t="s">
        <v>5</v>
      </c>
      <c r="P26" s="246" t="s">
        <v>16</v>
      </c>
      <c r="Q26" s="246" t="s">
        <v>4</v>
      </c>
      <c r="R26" s="248">
        <f>IFERROR(VLOOKUP(O26,Naturaleza,2,FALSE)*VLOOKUP('4b. Matriz - Contexto'!P26,Probabilidad,2,FALSE)*VLOOKUP('4b. Matriz - Contexto'!Q26,Severidad,2,FALSE),"")</f>
        <v>490</v>
      </c>
      <c r="S26" s="253" t="str">
        <f t="shared" si="0"/>
        <v>Moderado</v>
      </c>
      <c r="T26" s="247" t="str">
        <f>IFERROR(VLOOKUP(S26,'4a. Parámetros de riesgo'!$B$31:$C$35,2,FALSE),IFERROR(VLOOKUP(S26,'4a. Parámetros de riesgo'!$H$31:$I$35,2,FALSE),""))</f>
        <v>CONTROLARLO</v>
      </c>
      <c r="U26" s="249" t="str">
        <f>IFERROR(VLOOKUP(T26,'4a. Parámetros de riesgo'!$C$31:$D$35,2,FALSE),IFERROR(VLOOKUP(T26,'4a. Parámetros de riesgo'!$I$31:$J$35,2,FALSE),""))</f>
        <v>Plan de acción eficaz donde se realice un control permanente ya que existe un riesgo moderado en la secuencia y la integridad de los procesos de una o varias áreas de la Delegación INE Puebla, al SGC y/o Partes Interesadas.</v>
      </c>
    </row>
    <row r="27" spans="1:21" ht="100.2" customHeight="1" x14ac:dyDescent="0.3">
      <c r="A27" s="250" t="s">
        <v>31</v>
      </c>
      <c r="B27" s="251" t="str">
        <f>'2a. Análisis Foda'!L15:L15</f>
        <v>Falta de parque vehicular equipado para módulos itinerantes y el mantenimiento oportuno por parte de la empresa arrendadora.</v>
      </c>
      <c r="C27" s="252" t="s">
        <v>117</v>
      </c>
      <c r="D27" s="252"/>
      <c r="E27" s="252"/>
      <c r="F27" s="252"/>
      <c r="G27" s="252"/>
      <c r="H27" s="252"/>
      <c r="I27" s="252"/>
      <c r="J27" s="252"/>
      <c r="K27" s="252"/>
      <c r="L27" s="252"/>
      <c r="M27" s="252" t="s">
        <v>79</v>
      </c>
      <c r="N27" s="283"/>
      <c r="O27" s="246" t="s">
        <v>5</v>
      </c>
      <c r="P27" s="246" t="s">
        <v>16</v>
      </c>
      <c r="Q27" s="246" t="s">
        <v>4</v>
      </c>
      <c r="R27" s="248">
        <f>IFERROR(VLOOKUP(O27,Naturaleza,2,FALSE)*VLOOKUP('4b. Matriz - Contexto'!P27,Probabilidad,2,FALSE)*VLOOKUP('4b. Matriz - Contexto'!Q27,Severidad,2,FALSE),"")</f>
        <v>490</v>
      </c>
      <c r="S27" s="253" t="str">
        <f t="shared" si="0"/>
        <v>Moderado</v>
      </c>
      <c r="T27" s="247" t="str">
        <f>IFERROR(VLOOKUP(S27,'4a. Parámetros de riesgo'!$B$31:$C$35,2,FALSE),IFERROR(VLOOKUP(S27,'4a. Parámetros de riesgo'!$H$31:$I$35,2,FALSE),""))</f>
        <v>CONTROLARLO</v>
      </c>
      <c r="U27" s="249" t="str">
        <f>IFERROR(VLOOKUP(T27,'4a. Parámetros de riesgo'!$C$31:$D$35,2,FALSE),IFERROR(VLOOKUP(T27,'4a. Parámetros de riesgo'!$I$31:$J$35,2,FALSE),""))</f>
        <v>Plan de acción eficaz donde se realice un control permanente ya que existe un riesgo moderado en la secuencia y la integridad de los procesos de una o varias áreas de la Delegación INE Puebla, al SGC y/o Partes Interesadas.</v>
      </c>
    </row>
    <row r="28" spans="1:21" ht="100.2" customHeight="1" x14ac:dyDescent="0.3">
      <c r="A28" s="250" t="s">
        <v>31</v>
      </c>
      <c r="B28" s="251" t="str">
        <f>'2a. Análisis Foda'!L16:L16</f>
        <v>Involucramiento doloso del personal de Módulos de Atención Ciudadana en trámites irregulares y usurpación de identidad.</v>
      </c>
      <c r="C28" s="252" t="s">
        <v>117</v>
      </c>
      <c r="D28" s="252" t="s">
        <v>79</v>
      </c>
      <c r="E28" s="252" t="s">
        <v>79</v>
      </c>
      <c r="F28" s="252"/>
      <c r="G28" s="252"/>
      <c r="H28" s="252" t="s">
        <v>79</v>
      </c>
      <c r="I28" s="252"/>
      <c r="J28" s="252"/>
      <c r="K28" s="252"/>
      <c r="L28" s="252"/>
      <c r="M28" s="252"/>
      <c r="N28" s="283"/>
      <c r="O28" s="246" t="s">
        <v>5</v>
      </c>
      <c r="P28" s="246" t="s">
        <v>17</v>
      </c>
      <c r="Q28" s="246" t="s">
        <v>218</v>
      </c>
      <c r="R28" s="248">
        <f>IFERROR(VLOOKUP(O28,Naturaleza,2,FALSE)*VLOOKUP('4b. Matriz - Contexto'!P28,Probabilidad,2,FALSE)*VLOOKUP('4b. Matriz - Contexto'!Q28,Severidad,2,FALSE),"")</f>
        <v>100</v>
      </c>
      <c r="S28" s="253" t="str">
        <f t="shared" si="0"/>
        <v>Trivial</v>
      </c>
      <c r="T28" s="247" t="str">
        <f>IFERROR(VLOOKUP(S28,'4a. Parámetros de riesgo'!$B$31:$C$35,2,FALSE),IFERROR(VLOOKUP(S28,'4a. Parámetros de riesgo'!$H$31:$I$35,2,FALSE),""))</f>
        <v>VIGILARLO</v>
      </c>
      <c r="U28" s="249" t="str">
        <f>IFERROR(VLOOKUP(T28,'4a. Parámetros de riesgo'!$C$31:$D$35,2,FALSE),IFERROR(VLOOKUP(T28,'4a. Parámetros de riesgo'!$I$31:$J$35,2,FALSE),""))</f>
        <v>Control rutinario, no afecta la secuencia e integridad de los procesos de una o varias áreas de la Delegación INE Puebla, el SGC y/o Partes Interesadas.</v>
      </c>
    </row>
    <row r="29" spans="1:21" ht="100.2" customHeight="1" x14ac:dyDescent="0.3">
      <c r="A29" s="250" t="s">
        <v>31</v>
      </c>
      <c r="B29" s="251" t="str">
        <f>'2a. Análisis Foda'!L17:L17</f>
        <v>Falta de incentivos económicos para las y los funcionarios de los MAC´s.</v>
      </c>
      <c r="C29" s="252" t="s">
        <v>117</v>
      </c>
      <c r="D29" s="252"/>
      <c r="E29" s="252"/>
      <c r="F29" s="252"/>
      <c r="G29" s="252"/>
      <c r="H29" s="252"/>
      <c r="I29" s="252"/>
      <c r="J29" s="252"/>
      <c r="K29" s="252" t="s">
        <v>79</v>
      </c>
      <c r="L29" s="252"/>
      <c r="M29" s="252"/>
      <c r="N29" s="283"/>
      <c r="O29" s="246" t="s">
        <v>7</v>
      </c>
      <c r="P29" s="246" t="s">
        <v>17</v>
      </c>
      <c r="Q29" s="246" t="s">
        <v>4</v>
      </c>
      <c r="R29" s="248">
        <f>IFERROR(VLOOKUP(O29,Naturaleza,2,FALSE)*VLOOKUP('4b. Matriz - Contexto'!P29,Probabilidad,2,FALSE)*VLOOKUP('4b. Matriz - Contexto'!Q29,Severidad,2,FALSE),"")</f>
        <v>49</v>
      </c>
      <c r="S29" s="253" t="str">
        <f t="shared" si="0"/>
        <v>Trivial</v>
      </c>
      <c r="T29" s="247" t="str">
        <f>IFERROR(VLOOKUP(S29,'4a. Parámetros de riesgo'!$B$31:$C$35,2,FALSE),IFERROR(VLOOKUP(S29,'4a. Parámetros de riesgo'!$H$31:$I$35,2,FALSE),""))</f>
        <v>VIGILARLO</v>
      </c>
      <c r="U29" s="249" t="str">
        <f>IFERROR(VLOOKUP(T29,'4a. Parámetros de riesgo'!$C$31:$D$35,2,FALSE),IFERROR(VLOOKUP(T29,'4a. Parámetros de riesgo'!$I$31:$J$35,2,FALSE),""))</f>
        <v>Control rutinario, no afecta la secuencia e integridad de los procesos de una o varias áreas de la Delegación INE Puebla, el SGC y/o Partes Interesadas.</v>
      </c>
    </row>
    <row r="30" spans="1:21" ht="100.2" customHeight="1" x14ac:dyDescent="0.3">
      <c r="A30" s="250" t="s">
        <v>31</v>
      </c>
      <c r="B30" s="251" t="str">
        <f>'2a. Análisis Foda'!L18:L18</f>
        <v>No se cuenta con infraestructura suficiente para atender a ciudadanos por aplicación del Artículo 141 de la LGIPE.</v>
      </c>
      <c r="C30" s="252" t="s">
        <v>117</v>
      </c>
      <c r="D30" s="252"/>
      <c r="E30" s="252" t="s">
        <v>79</v>
      </c>
      <c r="F30" s="252"/>
      <c r="G30" s="252"/>
      <c r="H30" s="252" t="s">
        <v>79</v>
      </c>
      <c r="I30" s="252"/>
      <c r="J30" s="252"/>
      <c r="K30" s="252"/>
      <c r="L30" s="252"/>
      <c r="M30" s="252" t="s">
        <v>79</v>
      </c>
      <c r="N30" s="283"/>
      <c r="O30" s="246" t="s">
        <v>5</v>
      </c>
      <c r="P30" s="246" t="s">
        <v>17</v>
      </c>
      <c r="Q30" s="246" t="s">
        <v>4</v>
      </c>
      <c r="R30" s="248">
        <f>IFERROR(VLOOKUP(O30,Naturaleza,2,FALSE)*VLOOKUP('4b. Matriz - Contexto'!P30,Probabilidad,2,FALSE)*VLOOKUP('4b. Matriz - Contexto'!Q30,Severidad,2,FALSE),"")</f>
        <v>70</v>
      </c>
      <c r="S30" s="253" t="str">
        <f t="shared" si="0"/>
        <v>Trivial</v>
      </c>
      <c r="T30" s="247" t="str">
        <f>IFERROR(VLOOKUP(S30,'4a. Parámetros de riesgo'!$B$31:$C$35,2,FALSE),IFERROR(VLOOKUP(S30,'4a. Parámetros de riesgo'!$H$31:$I$35,2,FALSE),""))</f>
        <v>VIGILARLO</v>
      </c>
      <c r="U30" s="249" t="str">
        <f>IFERROR(VLOOKUP(T30,'4a. Parámetros de riesgo'!$C$31:$D$35,2,FALSE),IFERROR(VLOOKUP(T30,'4a. Parámetros de riesgo'!$I$31:$J$35,2,FALSE),""))</f>
        <v>Control rutinario, no afecta la secuencia e integridad de los procesos de una o varias áreas de la Delegación INE Puebla, el SGC y/o Partes Interesadas.</v>
      </c>
    </row>
    <row r="31" spans="1:21" ht="100.2" customHeight="1" x14ac:dyDescent="0.3">
      <c r="A31" s="250" t="s">
        <v>32</v>
      </c>
      <c r="B31" s="251" t="str">
        <f>'2a. Análisis Foda'!B22:E22</f>
        <v>Crecimiento poblacional desordenado, que dificulta la correcta referenciación de la ciudadanía.</v>
      </c>
      <c r="C31" s="252" t="s">
        <v>117</v>
      </c>
      <c r="D31" s="252"/>
      <c r="E31" s="252" t="s">
        <v>79</v>
      </c>
      <c r="F31" s="252"/>
      <c r="G31" s="252"/>
      <c r="H31" s="252"/>
      <c r="I31" s="252"/>
      <c r="J31" s="252"/>
      <c r="K31" s="252"/>
      <c r="L31" s="252"/>
      <c r="M31" s="252"/>
      <c r="N31" s="283"/>
      <c r="O31" s="246" t="s">
        <v>219</v>
      </c>
      <c r="P31" s="246" t="s">
        <v>17</v>
      </c>
      <c r="Q31" s="246" t="s">
        <v>15</v>
      </c>
      <c r="R31" s="248">
        <f>IFERROR(VLOOKUP(O31,Naturaleza,2,FALSE)*VLOOKUP('4b. Matriz - Contexto'!P31,Probabilidad,2,FALSE)*VLOOKUP('4b. Matriz - Contexto'!Q31,Severidad,2,FALSE),"")</f>
        <v>60</v>
      </c>
      <c r="S31" s="253" t="str">
        <f t="shared" si="0"/>
        <v>Trivial</v>
      </c>
      <c r="T31" s="247" t="str">
        <f>IFERROR(VLOOKUP(S31,'4a. Parámetros de riesgo'!$B$31:$C$35,2,FALSE),IFERROR(VLOOKUP(S31,'4a. Parámetros de riesgo'!$H$31:$I$35,2,FALSE),""))</f>
        <v>VIGILARLO</v>
      </c>
      <c r="U31" s="249" t="str">
        <f>IFERROR(VLOOKUP(T31,'4a. Parámetros de riesgo'!$C$31:$D$35,2,FALSE),IFERROR(VLOOKUP(T31,'4a. Parámetros de riesgo'!$I$31:$J$35,2,FALSE),""))</f>
        <v>Control rutinario, no afecta la secuencia e integridad de los procesos de una o varias áreas de la Delegación INE Puebla, el SGC y/o Partes Interesadas.</v>
      </c>
    </row>
    <row r="32" spans="1:21" ht="100.2" customHeight="1" x14ac:dyDescent="0.3">
      <c r="A32" s="250" t="s">
        <v>32</v>
      </c>
      <c r="B32" s="251" t="str">
        <f>'2a. Análisis Foda'!B23:E23</f>
        <v xml:space="preserve">Recorte presupuestal de la Cámara de Diputados: que se traduce en limitaciones internas para la ejecución de programas. </v>
      </c>
      <c r="C32" s="252" t="s">
        <v>117</v>
      </c>
      <c r="D32" s="252"/>
      <c r="E32" s="252"/>
      <c r="F32" s="252"/>
      <c r="G32" s="252"/>
      <c r="H32" s="252"/>
      <c r="I32" s="252"/>
      <c r="J32" s="252"/>
      <c r="K32" s="252"/>
      <c r="L32" s="252"/>
      <c r="M32" s="252"/>
      <c r="N32" s="283" t="s">
        <v>79</v>
      </c>
      <c r="O32" s="246" t="s">
        <v>7</v>
      </c>
      <c r="P32" s="246" t="s">
        <v>17</v>
      </c>
      <c r="Q32" s="246" t="s">
        <v>218</v>
      </c>
      <c r="R32" s="248">
        <f>IFERROR(VLOOKUP(O32,Naturaleza,2,FALSE)*VLOOKUP('4b. Matriz - Contexto'!P32,Probabilidad,2,FALSE)*VLOOKUP('4b. Matriz - Contexto'!Q32,Severidad,2,FALSE),"")</f>
        <v>70</v>
      </c>
      <c r="S32" s="253" t="str">
        <f t="shared" si="0"/>
        <v>Trivial</v>
      </c>
      <c r="T32" s="247" t="str">
        <f>IFERROR(VLOOKUP(S32,'4a. Parámetros de riesgo'!$B$31:$C$35,2,FALSE),IFERROR(VLOOKUP(S32,'4a. Parámetros de riesgo'!$H$31:$I$35,2,FALSE),""))</f>
        <v>VIGILARLO</v>
      </c>
      <c r="U32" s="249" t="str">
        <f>IFERROR(VLOOKUP(T32,'4a. Parámetros de riesgo'!$C$31:$D$35,2,FALSE),IFERROR(VLOOKUP(T32,'4a. Parámetros de riesgo'!$I$31:$J$35,2,FALSE),""))</f>
        <v>Control rutinario, no afecta la secuencia e integridad de los procesos de una o varias áreas de la Delegación INE Puebla, el SGC y/o Partes Interesadas.</v>
      </c>
    </row>
    <row r="33" spans="1:21" ht="100.2" customHeight="1" x14ac:dyDescent="0.3">
      <c r="A33" s="250" t="s">
        <v>32</v>
      </c>
      <c r="B33" s="251" t="str">
        <f>'2a. Análisis Foda'!B24:E24</f>
        <v>Campaña de desacreditación de algunos medios de comunicación y actores políticos hacia la institución.</v>
      </c>
      <c r="C33" s="252" t="s">
        <v>117</v>
      </c>
      <c r="D33" s="252"/>
      <c r="E33" s="252"/>
      <c r="F33" s="252"/>
      <c r="G33" s="252"/>
      <c r="H33" s="252"/>
      <c r="I33" s="252"/>
      <c r="J33" s="252"/>
      <c r="K33" s="252"/>
      <c r="L33" s="252"/>
      <c r="M33" s="252"/>
      <c r="N33" s="283" t="s">
        <v>79</v>
      </c>
      <c r="O33" s="246" t="s">
        <v>8</v>
      </c>
      <c r="P33" s="246" t="s">
        <v>16</v>
      </c>
      <c r="Q33" s="246" t="s">
        <v>15</v>
      </c>
      <c r="R33" s="248">
        <f>IFERROR(VLOOKUP(O33,Naturaleza,2,FALSE)*VLOOKUP('4b. Matriz - Contexto'!P33,Probabilidad,2,FALSE)*VLOOKUP('4b. Matriz - Contexto'!Q33,Severidad,2,FALSE),"")</f>
        <v>350</v>
      </c>
      <c r="S33" s="253" t="str">
        <f t="shared" si="0"/>
        <v>Tolerable</v>
      </c>
      <c r="T33" s="247" t="str">
        <f>IFERROR(VLOOKUP(S33,'4a. Parámetros de riesgo'!$B$31:$C$35,2,FALSE),IFERROR(VLOOKUP(S33,'4a. Parámetros de riesgo'!$H$31:$I$35,2,FALSE),""))</f>
        <v>ASUMIRLO</v>
      </c>
      <c r="U33" s="249" t="str">
        <f>IFERROR(VLOOKUP(T33,'4a. Parámetros de riesgo'!$C$31:$D$35,2,FALSE),IFERROR(VLOOKUP(T33,'4a. Parámetros de riesgo'!$I$31:$J$35,2,FALSE),""))</f>
        <v>Monitorear el riesgo, afecta mínimamente la secuencia y la integridad de los procesos de una o varias áreas de la Delegación INE Puebla, el SGC y/o Partes Interesadas.</v>
      </c>
    </row>
    <row r="34" spans="1:21" ht="100.2" customHeight="1" x14ac:dyDescent="0.3">
      <c r="A34" s="250" t="s">
        <v>32</v>
      </c>
      <c r="B34" s="251" t="str">
        <f>'2a. Análisis Foda'!B25:E25</f>
        <v>Disminución de la participación ciudadana con el Instituto.</v>
      </c>
      <c r="C34" s="252" t="s">
        <v>117</v>
      </c>
      <c r="D34" s="252"/>
      <c r="E34" s="252"/>
      <c r="F34" s="252"/>
      <c r="G34" s="252"/>
      <c r="H34" s="252"/>
      <c r="I34" s="252"/>
      <c r="J34" s="252"/>
      <c r="K34" s="252"/>
      <c r="L34" s="252"/>
      <c r="M34" s="252"/>
      <c r="N34" s="283" t="s">
        <v>79</v>
      </c>
      <c r="O34" s="246" t="s">
        <v>206</v>
      </c>
      <c r="P34" s="246" t="s">
        <v>17</v>
      </c>
      <c r="Q34" s="246" t="s">
        <v>4</v>
      </c>
      <c r="R34" s="248">
        <f>IFERROR(VLOOKUP(O34,Naturaleza,2,FALSE)*VLOOKUP('4b. Matriz - Contexto'!P34,Probabilidad,2,FALSE)*VLOOKUP('4b. Matriz - Contexto'!Q34,Severidad,2,FALSE),"")</f>
        <v>56</v>
      </c>
      <c r="S34" s="253" t="str">
        <f t="shared" si="0"/>
        <v>Trivial</v>
      </c>
      <c r="T34" s="247" t="str">
        <f>IFERROR(VLOOKUP(S34,'4a. Parámetros de riesgo'!$B$31:$C$35,2,FALSE),IFERROR(VLOOKUP(S34,'4a. Parámetros de riesgo'!$H$31:$I$35,2,FALSE),""))</f>
        <v>VIGILARLO</v>
      </c>
      <c r="U34" s="249" t="str">
        <f>IFERROR(VLOOKUP(T34,'4a. Parámetros de riesgo'!$C$31:$D$35,2,FALSE),IFERROR(VLOOKUP(T34,'4a. Parámetros de riesgo'!$I$31:$J$35,2,FALSE),""))</f>
        <v>Control rutinario, no afecta la secuencia e integridad de los procesos de una o varias áreas de la Delegación INE Puebla, el SGC y/o Partes Interesadas.</v>
      </c>
    </row>
    <row r="35" spans="1:21" ht="100.2" customHeight="1" x14ac:dyDescent="0.3">
      <c r="A35" s="250" t="s">
        <v>32</v>
      </c>
      <c r="B35" s="251" t="str">
        <f>'2a. Análisis Foda'!B26:E26</f>
        <v>Actas de nacimiento con deficiencias y problemas para la generación correcta de la CURP.</v>
      </c>
      <c r="C35" s="252" t="s">
        <v>117</v>
      </c>
      <c r="D35" s="252" t="s">
        <v>79</v>
      </c>
      <c r="E35" s="252" t="s">
        <v>79</v>
      </c>
      <c r="F35" s="252"/>
      <c r="G35" s="252"/>
      <c r="H35" s="252" t="s">
        <v>79</v>
      </c>
      <c r="I35" s="252"/>
      <c r="J35" s="252"/>
      <c r="K35" s="252"/>
      <c r="L35" s="252"/>
      <c r="M35" s="252"/>
      <c r="N35" s="283"/>
      <c r="O35" s="246" t="s">
        <v>5</v>
      </c>
      <c r="P35" s="246" t="s">
        <v>16</v>
      </c>
      <c r="Q35" s="246" t="s">
        <v>4</v>
      </c>
      <c r="R35" s="248">
        <f>IFERROR(VLOOKUP(O35,Naturaleza,2,FALSE)*VLOOKUP('4b. Matriz - Contexto'!P35,Probabilidad,2,FALSE)*VLOOKUP('4b. Matriz - Contexto'!Q35,Severidad,2,FALSE),"")</f>
        <v>490</v>
      </c>
      <c r="S35" s="253" t="str">
        <f t="shared" si="0"/>
        <v>Moderado</v>
      </c>
      <c r="T35" s="247" t="str">
        <f>IFERROR(VLOOKUP(S35,'4a. Parámetros de riesgo'!$B$31:$C$35,2,FALSE),IFERROR(VLOOKUP(S35,'4a. Parámetros de riesgo'!$H$31:$I$35,2,FALSE),""))</f>
        <v>CONTROLARLO</v>
      </c>
      <c r="U35" s="249" t="str">
        <f>IFERROR(VLOOKUP(T35,'4a. Parámetros de riesgo'!$C$31:$D$35,2,FALSE),IFERROR(VLOOKUP(T35,'4a. Parámetros de riesgo'!$I$31:$J$35,2,FALSE),""))</f>
        <v>Plan de acción eficaz donde se realice un control permanente ya que existe un riesgo moderado en la secuencia y la integridad de los procesos de una o varias áreas de la Delegación INE Puebla, al SGC y/o Partes Interesadas.</v>
      </c>
    </row>
    <row r="36" spans="1:21" ht="100.2" customHeight="1" x14ac:dyDescent="0.3">
      <c r="A36" s="250" t="s">
        <v>32</v>
      </c>
      <c r="B36" s="251" t="str">
        <f>'2a. Análisis Foda'!B27:E27</f>
        <v>Comprobantes de domicilio con discrepancias respecto a la cartografía electoral.</v>
      </c>
      <c r="C36" s="252" t="s">
        <v>117</v>
      </c>
      <c r="D36" s="252" t="s">
        <v>79</v>
      </c>
      <c r="E36" s="252" t="s">
        <v>79</v>
      </c>
      <c r="F36" s="252"/>
      <c r="G36" s="252"/>
      <c r="H36" s="252"/>
      <c r="I36" s="252"/>
      <c r="J36" s="252"/>
      <c r="K36" s="252"/>
      <c r="L36" s="252"/>
      <c r="M36" s="252"/>
      <c r="N36" s="283"/>
      <c r="O36" s="246" t="s">
        <v>5</v>
      </c>
      <c r="P36" s="246" t="s">
        <v>16</v>
      </c>
      <c r="Q36" s="246" t="s">
        <v>4</v>
      </c>
      <c r="R36" s="248">
        <f>IFERROR(VLOOKUP(O36,Naturaleza,2,FALSE)*VLOOKUP('4b. Matriz - Contexto'!P36,Probabilidad,2,FALSE)*VLOOKUP('4b. Matriz - Contexto'!Q36,Severidad,2,FALSE),"")</f>
        <v>490</v>
      </c>
      <c r="S36" s="253" t="str">
        <f t="shared" si="0"/>
        <v>Moderado</v>
      </c>
      <c r="T36" s="247" t="str">
        <f>IFERROR(VLOOKUP(S36,'4a. Parámetros de riesgo'!$B$31:$C$35,2,FALSE),IFERROR(VLOOKUP(S36,'4a. Parámetros de riesgo'!$H$31:$I$35,2,FALSE),""))</f>
        <v>CONTROLARLO</v>
      </c>
      <c r="U36" s="249" t="str">
        <f>IFERROR(VLOOKUP(T36,'4a. Parámetros de riesgo'!$C$31:$D$35,2,FALSE),IFERROR(VLOOKUP(T36,'4a. Parámetros de riesgo'!$I$31:$J$35,2,FALSE),""))</f>
        <v>Plan de acción eficaz donde se realice un control permanente ya que existe un riesgo moderado en la secuencia y la integridad de los procesos de una o varias áreas de la Delegación INE Puebla, al SGC y/o Partes Interesadas.</v>
      </c>
    </row>
    <row r="37" spans="1:21" ht="100.2" customHeight="1" x14ac:dyDescent="0.3">
      <c r="A37" s="250" t="s">
        <v>32</v>
      </c>
      <c r="B37" s="251" t="str">
        <f>'2a. Análisis Foda'!B28:E28</f>
        <v>Problemáticas generadas por la pandemia por COVID-19 y por la inseguridad pública.</v>
      </c>
      <c r="C37" s="252" t="s">
        <v>117</v>
      </c>
      <c r="D37" s="252"/>
      <c r="E37" s="252"/>
      <c r="F37" s="252"/>
      <c r="G37" s="252"/>
      <c r="H37" s="252"/>
      <c r="I37" s="252"/>
      <c r="J37" s="252"/>
      <c r="K37" s="252" t="s">
        <v>79</v>
      </c>
      <c r="L37" s="252"/>
      <c r="M37" s="252"/>
      <c r="N37" s="283" t="s">
        <v>79</v>
      </c>
      <c r="O37" s="246" t="s">
        <v>12</v>
      </c>
      <c r="P37" s="246" t="s">
        <v>16</v>
      </c>
      <c r="Q37" s="246" t="s">
        <v>4</v>
      </c>
      <c r="R37" s="248">
        <f>IFERROR(VLOOKUP(O37,Naturaleza,2,FALSE)*VLOOKUP('4b. Matriz - Contexto'!P37,Probabilidad,2,FALSE)*VLOOKUP('4b. Matriz - Contexto'!Q37,Severidad,2,FALSE),"")</f>
        <v>490</v>
      </c>
      <c r="S37" s="253" t="str">
        <f t="shared" si="0"/>
        <v>Moderado</v>
      </c>
      <c r="T37" s="247" t="str">
        <f>IFERROR(VLOOKUP(S37,'4a. Parámetros de riesgo'!$B$31:$C$35,2,FALSE),IFERROR(VLOOKUP(S37,'4a. Parámetros de riesgo'!$H$31:$I$35,2,FALSE),""))</f>
        <v>CONTROLARLO</v>
      </c>
      <c r="U37" s="249" t="str">
        <f>IFERROR(VLOOKUP(T37,'4a. Parámetros de riesgo'!$C$31:$D$35,2,FALSE),IFERROR(VLOOKUP(T37,'4a. Parámetros de riesgo'!$I$31:$J$35,2,FALSE),""))</f>
        <v>Plan de acción eficaz donde se realice un control permanente ya que existe un riesgo moderado en la secuencia y la integridad de los procesos de una o varias áreas de la Delegación INE Puebla, al SGC y/o Partes Interesadas.</v>
      </c>
    </row>
    <row r="38" spans="1:21" ht="100.2" customHeight="1" x14ac:dyDescent="0.3">
      <c r="A38" s="250" t="s">
        <v>32</v>
      </c>
      <c r="B38" s="251" t="str">
        <f>'2a. Análisis Foda'!B29:E29</f>
        <v>Cédula de identidad ciudadana a cargo de la SEGOB.</v>
      </c>
      <c r="C38" s="252" t="s">
        <v>117</v>
      </c>
      <c r="D38" s="252"/>
      <c r="E38" s="252"/>
      <c r="F38" s="252"/>
      <c r="G38" s="252"/>
      <c r="H38" s="252"/>
      <c r="I38" s="252"/>
      <c r="J38" s="252"/>
      <c r="K38" s="252"/>
      <c r="L38" s="252"/>
      <c r="M38" s="252"/>
      <c r="N38" s="283" t="s">
        <v>79</v>
      </c>
      <c r="O38" s="246" t="s">
        <v>219</v>
      </c>
      <c r="P38" s="246" t="s">
        <v>17</v>
      </c>
      <c r="Q38" s="246" t="s">
        <v>218</v>
      </c>
      <c r="R38" s="248">
        <f>IFERROR(VLOOKUP(O38,Naturaleza,2,FALSE)*VLOOKUP('4b. Matriz - Contexto'!P38,Probabilidad,2,FALSE)*VLOOKUP('4b. Matriz - Contexto'!Q38,Severidad,2,FALSE),"")</f>
        <v>60</v>
      </c>
      <c r="S38" s="253" t="str">
        <f t="shared" si="0"/>
        <v>Trivial</v>
      </c>
      <c r="T38" s="247" t="str">
        <f>IFERROR(VLOOKUP(S38,'4a. Parámetros de riesgo'!$B$31:$C$35,2,FALSE),IFERROR(VLOOKUP(S38,'4a. Parámetros de riesgo'!$H$31:$I$35,2,FALSE),""))</f>
        <v>VIGILARLO</v>
      </c>
      <c r="U38" s="249" t="str">
        <f>IFERROR(VLOOKUP(T38,'4a. Parámetros de riesgo'!$C$31:$D$35,2,FALSE),IFERROR(VLOOKUP(T38,'4a. Parámetros de riesgo'!$I$31:$J$35,2,FALSE),""))</f>
        <v>Control rutinario, no afecta la secuencia e integridad de los procesos de una o varias áreas de la Delegación INE Puebla, el SGC y/o Partes Interesadas.</v>
      </c>
    </row>
    <row r="39" spans="1:21" ht="100.2" customHeight="1" x14ac:dyDescent="0.3">
      <c r="A39" s="250" t="s">
        <v>32</v>
      </c>
      <c r="B39" s="251" t="str">
        <f>'2a. Análisis Foda'!B30:E30</f>
        <v>Intentos de intromisión de poderes del Estado mexicano que atentan contra la autonomía del Instituto.</v>
      </c>
      <c r="C39" s="252" t="s">
        <v>117</v>
      </c>
      <c r="D39" s="252"/>
      <c r="E39" s="252"/>
      <c r="F39" s="252"/>
      <c r="G39" s="252"/>
      <c r="H39" s="252"/>
      <c r="I39" s="252"/>
      <c r="J39" s="252"/>
      <c r="K39" s="252"/>
      <c r="L39" s="252"/>
      <c r="M39" s="252"/>
      <c r="N39" s="283" t="s">
        <v>79</v>
      </c>
      <c r="O39" s="246" t="s">
        <v>8</v>
      </c>
      <c r="P39" s="246" t="s">
        <v>16</v>
      </c>
      <c r="Q39" s="246" t="s">
        <v>4</v>
      </c>
      <c r="R39" s="248">
        <f>IFERROR(VLOOKUP(O39,Naturaleza,2,FALSE)*VLOOKUP('4b. Matriz - Contexto'!P39,Probabilidad,2,FALSE)*VLOOKUP('4b. Matriz - Contexto'!Q39,Severidad,2,FALSE),"")</f>
        <v>245</v>
      </c>
      <c r="S39" s="253" t="str">
        <f t="shared" si="0"/>
        <v>Tolerable</v>
      </c>
      <c r="T39" s="247" t="str">
        <f>IFERROR(VLOOKUP(S39,'4a. Parámetros de riesgo'!$B$31:$C$35,2,FALSE),IFERROR(VLOOKUP(S39,'4a. Parámetros de riesgo'!$H$31:$I$35,2,FALSE),""))</f>
        <v>ASUMIRLO</v>
      </c>
      <c r="U39" s="249" t="str">
        <f>IFERROR(VLOOKUP(T39,'4a. Parámetros de riesgo'!$C$31:$D$35,2,FALSE),IFERROR(VLOOKUP(T39,'4a. Parámetros de riesgo'!$I$31:$J$35,2,FALSE),""))</f>
        <v>Monitorear el riesgo, afecta mínimamente la secuencia y la integridad de los procesos de una o varias áreas de la Delegación INE Puebla, el SGC y/o Partes Interesadas.</v>
      </c>
    </row>
    <row r="40" spans="1:21" ht="100.2" customHeight="1" x14ac:dyDescent="0.3">
      <c r="A40" s="250" t="s">
        <v>32</v>
      </c>
      <c r="B40" s="251" t="str">
        <f>'2a. Análisis Foda'!B31:E31</f>
        <v>Trámites realizados con mala fe de la ciudadanía.</v>
      </c>
      <c r="C40" s="252" t="s">
        <v>117</v>
      </c>
      <c r="D40" s="252" t="s">
        <v>79</v>
      </c>
      <c r="E40" s="252" t="s">
        <v>79</v>
      </c>
      <c r="F40" s="252" t="s">
        <v>79</v>
      </c>
      <c r="G40" s="252" t="s">
        <v>79</v>
      </c>
      <c r="H40" s="252" t="s">
        <v>79</v>
      </c>
      <c r="I40" s="252"/>
      <c r="J40" s="252"/>
      <c r="K40" s="252"/>
      <c r="L40" s="252"/>
      <c r="M40" s="252"/>
      <c r="N40" s="283"/>
      <c r="O40" s="246" t="s">
        <v>219</v>
      </c>
      <c r="P40" s="246" t="s">
        <v>17</v>
      </c>
      <c r="Q40" s="246" t="s">
        <v>218</v>
      </c>
      <c r="R40" s="248">
        <f>IFERROR(VLOOKUP(O40,Naturaleza,2,FALSE)*VLOOKUP('4b. Matriz - Contexto'!P40,Probabilidad,2,FALSE)*VLOOKUP('4b. Matriz - Contexto'!Q40,Severidad,2,FALSE),"")</f>
        <v>60</v>
      </c>
      <c r="S40" s="253" t="str">
        <f t="shared" si="0"/>
        <v>Trivial</v>
      </c>
      <c r="T40" s="247" t="str">
        <f>IFERROR(VLOOKUP(S40,'4a. Parámetros de riesgo'!$B$31:$C$35,2,FALSE),IFERROR(VLOOKUP(S40,'4a. Parámetros de riesgo'!$H$31:$I$35,2,FALSE),""))</f>
        <v>VIGILARLO</v>
      </c>
      <c r="U40" s="249" t="str">
        <f>IFERROR(VLOOKUP(T40,'4a. Parámetros de riesgo'!$C$31:$D$35,2,FALSE),IFERROR(VLOOKUP(T40,'4a. Parámetros de riesgo'!$I$31:$J$35,2,FALSE),""))</f>
        <v>Control rutinario, no afecta la secuencia e integridad de los procesos de una o varias áreas de la Delegación INE Puebla, el SGC y/o Partes Interesadas.</v>
      </c>
    </row>
    <row r="41" spans="1:21" ht="100.2" customHeight="1" x14ac:dyDescent="0.3">
      <c r="A41" s="250" t="s">
        <v>30</v>
      </c>
      <c r="B41" s="251" t="str">
        <f>'2a. Análisis Foda'!L22:L22</f>
        <v>Realizar convenios de capacitación relacionados con protección civil.</v>
      </c>
      <c r="C41" s="252" t="s">
        <v>74</v>
      </c>
      <c r="D41" s="245"/>
      <c r="E41" s="245"/>
      <c r="F41" s="245"/>
      <c r="G41" s="245"/>
      <c r="H41" s="245"/>
      <c r="I41" s="245"/>
      <c r="J41" s="245" t="s">
        <v>79</v>
      </c>
      <c r="K41" s="245"/>
      <c r="L41" s="245"/>
      <c r="M41" s="245"/>
      <c r="N41" s="285"/>
      <c r="O41" s="246" t="s">
        <v>9</v>
      </c>
      <c r="P41" s="246" t="s">
        <v>17</v>
      </c>
      <c r="Q41" s="246" t="s">
        <v>208</v>
      </c>
      <c r="R41" s="248">
        <f>IFERROR(VLOOKUP(O41,Naturaleza,2,FALSE)*VLOOKUP('4b. Matriz - Contexto'!P41,Probabilidad,2,FALSE)*VLOOKUP('4b. Matriz - Contexto'!Q41,Severidad,2,FALSE),"")</f>
        <v>8</v>
      </c>
      <c r="S41" s="253" t="str">
        <f t="shared" si="0"/>
        <v>Limitada</v>
      </c>
      <c r="T41" s="247" t="str">
        <f>IFERROR(VLOOKUP(S41,'4a. Parámetros de riesgo'!$B$31:$C$35,2,FALSE),IFERROR(VLOOKUP(S41,'4a. Parámetros de riesgo'!$H$31:$I$35,2,FALSE),""))</f>
        <v>A CONSIDERAR</v>
      </c>
      <c r="U41" s="249" t="str">
        <f>IFERROR(VLOOKUP(T41,'4a. Parámetros de riesgo'!$C$31:$D$35,2,FALSE),IFERROR(VLOOKUP(T41,'4a. Parámetros de riesgo'!$I$31:$J$35,2,FALSE),""))</f>
        <v>Oportunidad que genera un beneficio mínimo en los procesos de una o varias áreas de la Institución, el SGC y/o Partes Interesadas de la cual se espera un resultado inmediato.</v>
      </c>
    </row>
    <row r="42" spans="1:21" ht="100.2" customHeight="1" x14ac:dyDescent="0.3">
      <c r="A42" s="250" t="s">
        <v>30</v>
      </c>
      <c r="B42" s="251" t="str">
        <f>'2a. Análisis Foda'!L23:L23</f>
        <v>Aprovechar las redes sociales existentes para la información relativa a requisitos, directorio de MAC´s, cierre de MAC´s, horarios, entre otros.</v>
      </c>
      <c r="C42" s="252" t="s">
        <v>74</v>
      </c>
      <c r="D42" s="245" t="s">
        <v>79</v>
      </c>
      <c r="E42" s="245"/>
      <c r="F42" s="245"/>
      <c r="G42" s="245"/>
      <c r="H42" s="245"/>
      <c r="I42" s="245"/>
      <c r="J42" s="245"/>
      <c r="K42" s="245"/>
      <c r="L42" s="245"/>
      <c r="M42" s="245"/>
      <c r="N42" s="285"/>
      <c r="O42" s="246" t="s">
        <v>5</v>
      </c>
      <c r="P42" s="246" t="s">
        <v>16</v>
      </c>
      <c r="Q42" s="246" t="s">
        <v>4</v>
      </c>
      <c r="R42" s="248">
        <f>IFERROR(VLOOKUP(O42,Naturaleza,2,FALSE)*VLOOKUP('4b. Matriz - Contexto'!P42,Probabilidad,2,FALSE)*VLOOKUP('4b. Matriz - Contexto'!Q42,Severidad,2,FALSE),"")</f>
        <v>490</v>
      </c>
      <c r="S42" s="253" t="str">
        <f t="shared" si="0"/>
        <v>Media</v>
      </c>
      <c r="T42" s="247" t="str">
        <f>IFERROR(VLOOKUP(S42,'4a. Parámetros de riesgo'!$B$31:$C$35,2,FALSE),IFERROR(VLOOKUP(S42,'4a. Parámetros de riesgo'!$H$31:$I$35,2,FALSE),""))</f>
        <v>ABORDAR</v>
      </c>
      <c r="U42" s="249" t="str">
        <f>IFERROR(VLOOKUP(T42,'4a. Parámetros de riesgo'!$C$31:$D$35,2,FALSE),IFERROR(VLOOKUP(T42,'4a. Parámetros de riesgo'!$I$31:$J$35,2,FALSE),""))</f>
        <v>Oportunidad con buena posibilidad de abordarse siempre y cuando se profundice en los beneficios esperados en los procesos de una o varias áreas de la Delegación INE Puebla, el SGC y/o Partes Interesadas de la cual se espera un resultado a corto plazo.</v>
      </c>
    </row>
    <row r="43" spans="1:21" ht="100.35" customHeight="1" x14ac:dyDescent="0.3">
      <c r="A43" s="250" t="s">
        <v>30</v>
      </c>
      <c r="B43" s="251" t="str">
        <f>'2a. Análisis Foda'!L24:L24</f>
        <v>Gestionar con autoridades municipales la difusión de requisitos, directorios y concertación de espacios para instalación de los MAC´s itinerantes.</v>
      </c>
      <c r="C43" s="252" t="s">
        <v>74</v>
      </c>
      <c r="D43" s="245" t="s">
        <v>79</v>
      </c>
      <c r="E43" s="245"/>
      <c r="F43" s="245"/>
      <c r="G43" s="245"/>
      <c r="H43" s="245"/>
      <c r="I43" s="245"/>
      <c r="J43" s="245"/>
      <c r="K43" s="245"/>
      <c r="L43" s="245"/>
      <c r="M43" s="245"/>
      <c r="N43" s="285"/>
      <c r="O43" s="246" t="s">
        <v>5</v>
      </c>
      <c r="P43" s="246" t="s">
        <v>16</v>
      </c>
      <c r="Q43" s="246" t="s">
        <v>4</v>
      </c>
      <c r="R43" s="248">
        <f>IFERROR(VLOOKUP(O43,Naturaleza,2,FALSE)*VLOOKUP('4b. Matriz - Contexto'!P43,Probabilidad,2,FALSE)*VLOOKUP('4b. Matriz - Contexto'!Q43,Severidad,2,FALSE),"")</f>
        <v>490</v>
      </c>
      <c r="S43" s="253" t="str">
        <f t="shared" ref="S43:S50" si="1">IF(A43="Debilidad",IF(R43="","",IF(AND(R43&gt;0,R43&lt;200),"Trivial",IF(OR(R43=200,AND(R43&gt;200,R43&lt;400)),"Tolerable",IF(OR(R43=400,AND(R43&gt;400,R43&lt;600)),"Moderado",IF(OR(R43=600,AND(R43&gt;600,R43&lt;800)),"Importante",IF(OR(R43=800,R43&gt;800,R43&lt;1000,R43=1000),"Intolerable","")))))),IF(A43="Amenaza",IF(R43="","",IF(AND(R43&gt;0,R43&lt;200),"Trivial",IF(OR(R43=200,AND(R43&gt;200,R43&lt;400)),"Tolerable",IF(OR(R43=400,AND(R43&gt;400,R43&lt;600)),"Moderado",IF(OR(R43=600,AND(R43&gt;600,R43&lt;800)),"Importante",IF(OR(R43=800,R43&gt;800,R43&lt;1000,R43=1000),"Intolerable","")))))),IF(A43="Fortaleza",IF(R43="","",IF(AND(R43&gt;0,R43&lt;250),"Limitada",IF(OR(R43=250,AND(R43&gt;250,R43&lt;500)),"Media",IF(OR(R43=500,AND(R43&gt;500,R43&lt;750)),"Potencial",IF(OR(R43=750,AND(R43&gt;750,R43&lt;=1000)),"Sobresaliente", ""))))), IF(A43="Oportunidad",IF(R43="","",IF(AND(R43&gt;0,R43&lt;250),"Limitada",IF(OR(R43=250,AND(R43&gt;250,R43&lt;500)),"Media",IF(OR(R43=500,AND(R43&gt;500,R43&lt;750)),"Potencial",IF(OR(R43=750,AND(R43&gt;750,R43&lt;=1000)),"Sobresaliente",""))))),""))))</f>
        <v>Media</v>
      </c>
      <c r="T43" s="247" t="str">
        <f>IFERROR(VLOOKUP(S43,'4a. Parámetros de riesgo'!$B$31:$C$35,2,FALSE),IFERROR(VLOOKUP(S43,'4a. Parámetros de riesgo'!$H$31:$I$35,2,FALSE),""))</f>
        <v>ABORDAR</v>
      </c>
      <c r="U43" s="249" t="str">
        <f>IFERROR(VLOOKUP(T43,'4a. Parámetros de riesgo'!$C$31:$D$35,2,FALSE),IFERROR(VLOOKUP(T43,'4a. Parámetros de riesgo'!$I$31:$J$35,2,FALSE),""))</f>
        <v>Oportunidad con buena posibilidad de abordarse siempre y cuando se profundice en los beneficios esperados en los procesos de una o varias áreas de la Delegación INE Puebla, el SGC y/o Partes Interesadas de la cual se espera un resultado a corto plazo.</v>
      </c>
    </row>
    <row r="44" spans="1:21" ht="100.35" customHeight="1" x14ac:dyDescent="0.3">
      <c r="A44" s="250" t="s">
        <v>30</v>
      </c>
      <c r="B44" s="251" t="str">
        <f>'2a. Análisis Foda'!L25:L25</f>
        <v>Aprovechar los espacios en radio y televisión relativas a difusión de la información de las campañas de credencialización.</v>
      </c>
      <c r="C44" s="252" t="s">
        <v>74</v>
      </c>
      <c r="D44" s="245" t="s">
        <v>79</v>
      </c>
      <c r="E44" s="245"/>
      <c r="F44" s="245"/>
      <c r="G44" s="245"/>
      <c r="H44" s="245"/>
      <c r="I44" s="245"/>
      <c r="J44" s="245"/>
      <c r="K44" s="245"/>
      <c r="L44" s="245"/>
      <c r="M44" s="245"/>
      <c r="N44" s="285"/>
      <c r="O44" s="246" t="s">
        <v>5</v>
      </c>
      <c r="P44" s="246" t="s">
        <v>16</v>
      </c>
      <c r="Q44" s="246" t="s">
        <v>208</v>
      </c>
      <c r="R44" s="248">
        <f>IFERROR(VLOOKUP(O44,Naturaleza,2,FALSE)*VLOOKUP('4b. Matriz - Contexto'!P44,Probabilidad,2,FALSE)*VLOOKUP('4b. Matriz - Contexto'!Q44,Severidad,2,FALSE),"")</f>
        <v>70</v>
      </c>
      <c r="S44" s="253" t="str">
        <f t="shared" si="1"/>
        <v>Limitada</v>
      </c>
      <c r="T44" s="247" t="str">
        <f>IFERROR(VLOOKUP(S44,'4a. Parámetros de riesgo'!$B$31:$C$35,2,FALSE),IFERROR(VLOOKUP(S44,'4a. Parámetros de riesgo'!$H$31:$I$35,2,FALSE),""))</f>
        <v>A CONSIDERAR</v>
      </c>
      <c r="U44" s="249" t="str">
        <f>IFERROR(VLOOKUP(T44,'4a. Parámetros de riesgo'!$C$31:$D$35,2,FALSE),IFERROR(VLOOKUP(T44,'4a. Parámetros de riesgo'!$I$31:$J$35,2,FALSE),""))</f>
        <v>Oportunidad que genera un beneficio mínimo en los procesos de una o varias áreas de la Institución, el SGC y/o Partes Interesadas de la cual se espera un resultado inmediato.</v>
      </c>
    </row>
    <row r="45" spans="1:21" ht="100.35" customHeight="1" x14ac:dyDescent="0.3">
      <c r="A45" s="250" t="s">
        <v>30</v>
      </c>
      <c r="B45" s="251" t="str">
        <f>'2a. Análisis Foda'!L26:L26</f>
        <v>Mantener la Certificación de Calidad en Normas ISO.</v>
      </c>
      <c r="C45" s="252" t="s">
        <v>74</v>
      </c>
      <c r="D45" s="245" t="s">
        <v>79</v>
      </c>
      <c r="E45" s="245" t="s">
        <v>79</v>
      </c>
      <c r="F45" s="245" t="s">
        <v>79</v>
      </c>
      <c r="G45" s="245" t="s">
        <v>79</v>
      </c>
      <c r="H45" s="245" t="s">
        <v>79</v>
      </c>
      <c r="I45" s="245" t="s">
        <v>79</v>
      </c>
      <c r="J45" s="245" t="s">
        <v>79</v>
      </c>
      <c r="K45" s="245" t="s">
        <v>79</v>
      </c>
      <c r="L45" s="245" t="s">
        <v>79</v>
      </c>
      <c r="M45" s="245" t="s">
        <v>79</v>
      </c>
      <c r="N45" s="285" t="s">
        <v>79</v>
      </c>
      <c r="O45" s="246" t="s">
        <v>206</v>
      </c>
      <c r="P45" s="246" t="s">
        <v>13</v>
      </c>
      <c r="Q45" s="246" t="s">
        <v>218</v>
      </c>
      <c r="R45" s="248">
        <f>IFERROR(VLOOKUP(O45,Naturaleza,2,FALSE)*VLOOKUP('4b. Matriz - Contexto'!P45,Probabilidad,2,FALSE)*VLOOKUP('4b. Matriz - Contexto'!Q45,Severidad,2,FALSE),"")</f>
        <v>800</v>
      </c>
      <c r="S45" s="253" t="str">
        <f t="shared" si="1"/>
        <v>Sobresaliente</v>
      </c>
      <c r="T45" s="247" t="str">
        <f>IFERROR(VLOOKUP(S45,'4a. Parámetros de riesgo'!$B$31:$C$35,2,FALSE),IFERROR(VLOOKUP(S45,'4a. Parámetros de riesgo'!$H$31:$I$35,2,FALSE),""))</f>
        <v>EXPLOTARLA</v>
      </c>
      <c r="U45" s="249" t="str">
        <f>IFERROR(VLOOKUP(T45,'4a. Parámetros de riesgo'!$C$31:$D$35,2,FALSE),IFERROR(VLOOKUP(T45,'4a. Parámetros de riesgo'!$I$31:$J$35,2,FALSE),""))</f>
        <v>Oportunidad con beneficios claros, generales y específicos en los procesos de varias o todas las áreas de la Delegación INE Puebla, el SGC y/o Partes Interesadas de la cual se obtiene un resultado a corto, mediano y/o largo plazo.</v>
      </c>
    </row>
    <row r="46" spans="1:21" ht="100.35" customHeight="1" x14ac:dyDescent="0.3">
      <c r="A46" s="250" t="s">
        <v>30</v>
      </c>
      <c r="B46" s="251" t="str">
        <f>'2a. Análisis Foda'!L27:L27</f>
        <v>Reforzar el conocimiento sobre el funcionamiento, directorio, horarios y requisitos de los MAC´s, en todo el personal de las Juntas.</v>
      </c>
      <c r="C46" s="252" t="s">
        <v>74</v>
      </c>
      <c r="D46" s="245" t="s">
        <v>79</v>
      </c>
      <c r="E46" s="245"/>
      <c r="F46" s="245"/>
      <c r="G46" s="245"/>
      <c r="H46" s="245" t="s">
        <v>79</v>
      </c>
      <c r="I46" s="245"/>
      <c r="J46" s="245"/>
      <c r="K46" s="245"/>
      <c r="L46" s="245"/>
      <c r="M46" s="245"/>
      <c r="N46" s="285"/>
      <c r="O46" s="246" t="s">
        <v>5</v>
      </c>
      <c r="P46" s="246" t="s">
        <v>16</v>
      </c>
      <c r="Q46" s="246" t="s">
        <v>4</v>
      </c>
      <c r="R46" s="248">
        <f>IFERROR(VLOOKUP(O46,Naturaleza,2,FALSE)*VLOOKUP('4b. Matriz - Contexto'!P46,Probabilidad,2,FALSE)*VLOOKUP('4b. Matriz - Contexto'!Q46,Severidad,2,FALSE),"")</f>
        <v>490</v>
      </c>
      <c r="S46" s="253" t="str">
        <f t="shared" si="1"/>
        <v>Media</v>
      </c>
      <c r="T46" s="247" t="str">
        <f>IFERROR(VLOOKUP(S46,'4a. Parámetros de riesgo'!$B$31:$C$35,2,FALSE),IFERROR(VLOOKUP(S46,'4a. Parámetros de riesgo'!$H$31:$I$35,2,FALSE),""))</f>
        <v>ABORDAR</v>
      </c>
      <c r="U46" s="249" t="str">
        <f>IFERROR(VLOOKUP(T46,'4a. Parámetros de riesgo'!$C$31:$D$35,2,FALSE),IFERROR(VLOOKUP(T46,'4a. Parámetros de riesgo'!$I$31:$J$35,2,FALSE),""))</f>
        <v>Oportunidad con buena posibilidad de abordarse siempre y cuando se profundice en los beneficios esperados en los procesos de una o varias áreas de la Delegación INE Puebla, el SGC y/o Partes Interesadas de la cual se espera un resultado a corto plazo.</v>
      </c>
    </row>
    <row r="47" spans="1:21" ht="100.35" customHeight="1" x14ac:dyDescent="0.3">
      <c r="A47" s="250" t="s">
        <v>30</v>
      </c>
      <c r="B47" s="251" t="str">
        <f>'2a. Análisis Foda'!L28:L28</f>
        <v>Mejorar condiciones laborales del personal de los MAC´s, incorporándolos a plaza presupuestal.</v>
      </c>
      <c r="C47" s="252" t="s">
        <v>74</v>
      </c>
      <c r="D47" s="245"/>
      <c r="E47" s="245"/>
      <c r="F47" s="245"/>
      <c r="G47" s="245"/>
      <c r="H47" s="245"/>
      <c r="I47" s="245" t="s">
        <v>79</v>
      </c>
      <c r="J47" s="245"/>
      <c r="K47" s="245" t="s">
        <v>79</v>
      </c>
      <c r="L47" s="245"/>
      <c r="M47" s="245"/>
      <c r="N47" s="285"/>
      <c r="O47" s="246" t="s">
        <v>7</v>
      </c>
      <c r="P47" s="246" t="s">
        <v>17</v>
      </c>
      <c r="Q47" s="246" t="s">
        <v>4</v>
      </c>
      <c r="R47" s="248">
        <f>IFERROR(VLOOKUP(O47,Naturaleza,2,FALSE)*VLOOKUP('4b. Matriz - Contexto'!P47,Probabilidad,2,FALSE)*VLOOKUP('4b. Matriz - Contexto'!Q47,Severidad,2,FALSE),"")</f>
        <v>49</v>
      </c>
      <c r="S47" s="253" t="str">
        <f t="shared" si="1"/>
        <v>Limitada</v>
      </c>
      <c r="T47" s="247" t="str">
        <f>IFERROR(VLOOKUP(S47,'4a. Parámetros de riesgo'!$B$31:$C$35,2,FALSE),IFERROR(VLOOKUP(S47,'4a. Parámetros de riesgo'!$H$31:$I$35,2,FALSE),""))</f>
        <v>A CONSIDERAR</v>
      </c>
      <c r="U47" s="249" t="str">
        <f>IFERROR(VLOOKUP(T47,'4a. Parámetros de riesgo'!$C$31:$D$35,2,FALSE),IFERROR(VLOOKUP(T47,'4a. Parámetros de riesgo'!$I$31:$J$35,2,FALSE),""))</f>
        <v>Oportunidad que genera un beneficio mínimo en los procesos de una o varias áreas de la Institución, el SGC y/o Partes Interesadas de la cual se espera un resultado inmediato.</v>
      </c>
    </row>
    <row r="48" spans="1:21" ht="100.35" customHeight="1" x14ac:dyDescent="0.3">
      <c r="A48" s="250" t="s">
        <v>30</v>
      </c>
      <c r="B48" s="251" t="str">
        <f>'2a. Análisis Foda'!L29:L29</f>
        <v>Mejorar los mecanismos de entrega y comprobación de recursos.</v>
      </c>
      <c r="C48" s="252" t="s">
        <v>74</v>
      </c>
      <c r="D48" s="245"/>
      <c r="E48" s="245"/>
      <c r="F48" s="245"/>
      <c r="G48" s="245"/>
      <c r="H48" s="245"/>
      <c r="I48" s="245"/>
      <c r="J48" s="245"/>
      <c r="K48" s="245"/>
      <c r="L48" s="245"/>
      <c r="M48" s="245" t="s">
        <v>79</v>
      </c>
      <c r="N48" s="285"/>
      <c r="O48" s="246" t="s">
        <v>7</v>
      </c>
      <c r="P48" s="246" t="s">
        <v>17</v>
      </c>
      <c r="Q48" s="246" t="s">
        <v>4</v>
      </c>
      <c r="R48" s="248">
        <f>IFERROR(VLOOKUP(O48,Naturaleza,2,FALSE)*VLOOKUP('4b. Matriz - Contexto'!P48,Probabilidad,2,FALSE)*VLOOKUP('4b. Matriz - Contexto'!Q48,Severidad,2,FALSE),"")</f>
        <v>49</v>
      </c>
      <c r="S48" s="253" t="str">
        <f t="shared" si="1"/>
        <v>Limitada</v>
      </c>
      <c r="T48" s="247" t="str">
        <f>IFERROR(VLOOKUP(S48,'4a. Parámetros de riesgo'!$B$31:$C$35,2,FALSE),IFERROR(VLOOKUP(S48,'4a. Parámetros de riesgo'!$H$31:$I$35,2,FALSE),""))</f>
        <v>A CONSIDERAR</v>
      </c>
      <c r="U48" s="249" t="str">
        <f>IFERROR(VLOOKUP(T48,'4a. Parámetros de riesgo'!$C$31:$D$35,2,FALSE),IFERROR(VLOOKUP(T48,'4a. Parámetros de riesgo'!$I$31:$J$35,2,FALSE),""))</f>
        <v>Oportunidad que genera un beneficio mínimo en los procesos de una o varias áreas de la Institución, el SGC y/o Partes Interesadas de la cual se espera un resultado inmediato.</v>
      </c>
    </row>
    <row r="49" spans="1:21" ht="100.35" customHeight="1" x14ac:dyDescent="0.3">
      <c r="A49" s="250" t="s">
        <v>30</v>
      </c>
      <c r="B49" s="251" t="str">
        <f>'2a. Análisis Foda'!L30:L30</f>
        <v>Mejorar las condiciones de imagen institucional en los MAC´s.</v>
      </c>
      <c r="C49" s="252" t="s">
        <v>74</v>
      </c>
      <c r="D49" s="245" t="s">
        <v>79</v>
      </c>
      <c r="E49" s="245" t="s">
        <v>79</v>
      </c>
      <c r="F49" s="245"/>
      <c r="G49" s="245"/>
      <c r="H49" s="245" t="s">
        <v>79</v>
      </c>
      <c r="I49" s="245"/>
      <c r="J49" s="245"/>
      <c r="K49" s="245"/>
      <c r="L49" s="245"/>
      <c r="M49" s="245" t="s">
        <v>79</v>
      </c>
      <c r="N49" s="285"/>
      <c r="O49" s="246" t="s">
        <v>5</v>
      </c>
      <c r="P49" s="246" t="s">
        <v>17</v>
      </c>
      <c r="Q49" s="246" t="s">
        <v>4</v>
      </c>
      <c r="R49" s="248">
        <f>IFERROR(VLOOKUP(O49,Naturaleza,2,FALSE)*VLOOKUP('4b. Matriz - Contexto'!P49,Probabilidad,2,FALSE)*VLOOKUP('4b. Matriz - Contexto'!Q49,Severidad,2,FALSE),"")</f>
        <v>70</v>
      </c>
      <c r="S49" s="253" t="str">
        <f t="shared" si="1"/>
        <v>Limitada</v>
      </c>
      <c r="T49" s="247" t="str">
        <f>IFERROR(VLOOKUP(S49,'4a. Parámetros de riesgo'!$B$31:$C$35,2,FALSE),IFERROR(VLOOKUP(S49,'4a. Parámetros de riesgo'!$H$31:$I$35,2,FALSE),""))</f>
        <v>A CONSIDERAR</v>
      </c>
      <c r="U49" s="249" t="str">
        <f>IFERROR(VLOOKUP(T49,'4a. Parámetros de riesgo'!$C$31:$D$35,2,FALSE),IFERROR(VLOOKUP(T49,'4a. Parámetros de riesgo'!$I$31:$J$35,2,FALSE),""))</f>
        <v>Oportunidad que genera un beneficio mínimo en los procesos de una o varias áreas de la Institución, el SGC y/o Partes Interesadas de la cual se espera un resultado inmediato.</v>
      </c>
    </row>
    <row r="50" spans="1:21" ht="100.35" customHeight="1" x14ac:dyDescent="0.3">
      <c r="A50" s="250" t="s">
        <v>30</v>
      </c>
      <c r="B50" s="251" t="str">
        <f>'2a. Análisis Foda'!L31:L31</f>
        <v>Contar con una cartera amplia de proveedores para la adquisición de bienes y servicios.</v>
      </c>
      <c r="C50" s="252" t="s">
        <v>74</v>
      </c>
      <c r="D50" s="245"/>
      <c r="E50" s="245"/>
      <c r="F50" s="245"/>
      <c r="G50" s="245"/>
      <c r="H50" s="245"/>
      <c r="I50" s="245"/>
      <c r="J50" s="245"/>
      <c r="K50" s="245"/>
      <c r="L50" s="245"/>
      <c r="M50" s="245" t="s">
        <v>79</v>
      </c>
      <c r="N50" s="285"/>
      <c r="O50" s="246" t="s">
        <v>5</v>
      </c>
      <c r="P50" s="246" t="s">
        <v>16</v>
      </c>
      <c r="Q50" s="246" t="s">
        <v>208</v>
      </c>
      <c r="R50" s="248">
        <f>IFERROR(VLOOKUP(O50,Naturaleza,2,FALSE)*VLOOKUP('4b. Matriz - Contexto'!P50,Probabilidad,2,FALSE)*VLOOKUP('4b. Matriz - Contexto'!Q50,Severidad,2,FALSE),"")</f>
        <v>70</v>
      </c>
      <c r="S50" s="253" t="str">
        <f t="shared" si="1"/>
        <v>Limitada</v>
      </c>
      <c r="T50" s="247" t="str">
        <f>IFERROR(VLOOKUP(S50,'4a. Parámetros de riesgo'!$B$31:$C$35,2,FALSE),IFERROR(VLOOKUP(S50,'4a. Parámetros de riesgo'!$H$31:$I$35,2,FALSE),""))</f>
        <v>A CONSIDERAR</v>
      </c>
      <c r="U50" s="249" t="str">
        <f>IFERROR(VLOOKUP(T50,'4a. Parámetros de riesgo'!$C$31:$D$35,2,FALSE),IFERROR(VLOOKUP(T50,'4a. Parámetros de riesgo'!$I$31:$J$35,2,FALSE),""))</f>
        <v>Oportunidad que genera un beneficio mínimo en los procesos de una o varias áreas de la Institución, el SGC y/o Partes Interesadas de la cual se espera un resultado inmediato.</v>
      </c>
    </row>
    <row r="51" spans="1:21" x14ac:dyDescent="0.3">
      <c r="U51" s="241"/>
    </row>
    <row r="52" spans="1:21" x14ac:dyDescent="0.3">
      <c r="U52" s="241"/>
    </row>
    <row r="53" spans="1:21" x14ac:dyDescent="0.3">
      <c r="U53" s="241"/>
    </row>
    <row r="54" spans="1:21" x14ac:dyDescent="0.3">
      <c r="U54" s="241"/>
    </row>
    <row r="55" spans="1:21" x14ac:dyDescent="0.3">
      <c r="U55" s="241"/>
    </row>
    <row r="56" spans="1:21" x14ac:dyDescent="0.3">
      <c r="U56" s="241"/>
    </row>
    <row r="57" spans="1:21" x14ac:dyDescent="0.3">
      <c r="U57" s="241"/>
    </row>
    <row r="58" spans="1:21" x14ac:dyDescent="0.3">
      <c r="U58" s="241"/>
    </row>
    <row r="59" spans="1:21" x14ac:dyDescent="0.3">
      <c r="U59" s="241"/>
    </row>
    <row r="60" spans="1:21" x14ac:dyDescent="0.3">
      <c r="U60" s="241"/>
    </row>
    <row r="61" spans="1:21" x14ac:dyDescent="0.3">
      <c r="U61" s="241"/>
    </row>
    <row r="62" spans="1:21" x14ac:dyDescent="0.3">
      <c r="U62" s="241"/>
    </row>
    <row r="63" spans="1:21" x14ac:dyDescent="0.3">
      <c r="U63" s="241"/>
    </row>
    <row r="64" spans="1:21" x14ac:dyDescent="0.3">
      <c r="U64" s="241"/>
    </row>
    <row r="65" spans="21:21" x14ac:dyDescent="0.3">
      <c r="U65" s="241"/>
    </row>
    <row r="66" spans="21:21" x14ac:dyDescent="0.3">
      <c r="U66" s="241"/>
    </row>
    <row r="67" spans="21:21" x14ac:dyDescent="0.3">
      <c r="U67" s="241"/>
    </row>
    <row r="68" spans="21:21" x14ac:dyDescent="0.3">
      <c r="U68" s="241"/>
    </row>
    <row r="69" spans="21:21" x14ac:dyDescent="0.3">
      <c r="U69" s="241"/>
    </row>
    <row r="70" spans="21:21" x14ac:dyDescent="0.3">
      <c r="U70" s="241"/>
    </row>
    <row r="71" spans="21:21" x14ac:dyDescent="0.3">
      <c r="U71" s="241"/>
    </row>
    <row r="72" spans="21:21" x14ac:dyDescent="0.3">
      <c r="U72" s="241"/>
    </row>
    <row r="73" spans="21:21" x14ac:dyDescent="0.3">
      <c r="U73" s="241"/>
    </row>
    <row r="74" spans="21:21" x14ac:dyDescent="0.3">
      <c r="U74" s="241"/>
    </row>
    <row r="75" spans="21:21" x14ac:dyDescent="0.3">
      <c r="U75" s="241"/>
    </row>
    <row r="76" spans="21:21" x14ac:dyDescent="0.3">
      <c r="U76" s="241"/>
    </row>
    <row r="77" spans="21:21" x14ac:dyDescent="0.3">
      <c r="U77" s="241"/>
    </row>
    <row r="78" spans="21:21" x14ac:dyDescent="0.3">
      <c r="U78" s="241"/>
    </row>
    <row r="79" spans="21:21" x14ac:dyDescent="0.3">
      <c r="U79" s="241"/>
    </row>
    <row r="80" spans="21:21" x14ac:dyDescent="0.3">
      <c r="U80" s="241"/>
    </row>
    <row r="81" spans="19:21" x14ac:dyDescent="0.3">
      <c r="U81" s="241"/>
    </row>
    <row r="82" spans="19:21" x14ac:dyDescent="0.3">
      <c r="U82" s="241"/>
    </row>
    <row r="83" spans="19:21" x14ac:dyDescent="0.3">
      <c r="U83" s="241"/>
    </row>
    <row r="84" spans="19:21" x14ac:dyDescent="0.3">
      <c r="U84" s="241"/>
    </row>
    <row r="85" spans="19:21" x14ac:dyDescent="0.3">
      <c r="U85" s="241"/>
    </row>
    <row r="86" spans="19:21" x14ac:dyDescent="0.3">
      <c r="U86" s="241"/>
    </row>
    <row r="87" spans="19:21" x14ac:dyDescent="0.3">
      <c r="S87" s="255"/>
      <c r="T87" s="256"/>
    </row>
  </sheetData>
  <protectedRanges>
    <protectedRange sqref="D41:N50" name="Rango1"/>
    <protectedRange sqref="U11:U50" name="Rango2"/>
    <protectedRange sqref="A41:C50 A11:Q40 O41:Q50" name="Rango1_1"/>
  </protectedRanges>
  <dataConsolidate/>
  <mergeCells count="18">
    <mergeCell ref="S9:S10"/>
    <mergeCell ref="T9:T10"/>
    <mergeCell ref="U9:U10"/>
    <mergeCell ref="C9:C10"/>
    <mergeCell ref="O9:O10"/>
    <mergeCell ref="P9:P10"/>
    <mergeCell ref="Q9:Q10"/>
    <mergeCell ref="R9:R10"/>
    <mergeCell ref="D9:N9"/>
    <mergeCell ref="G2:H3"/>
    <mergeCell ref="G4:H5"/>
    <mergeCell ref="G6:H7"/>
    <mergeCell ref="A2:A7"/>
    <mergeCell ref="A9:A10"/>
    <mergeCell ref="B9:B10"/>
    <mergeCell ref="B2:F3"/>
    <mergeCell ref="B4:F5"/>
    <mergeCell ref="B6:F7"/>
  </mergeCells>
  <conditionalFormatting sqref="R12:R17 R19:R50">
    <cfRule type="cellIs" dxfId="69" priority="92" operator="equal">
      <formula>0</formula>
    </cfRule>
  </conditionalFormatting>
  <conditionalFormatting sqref="S9 S88:S1048576">
    <cfRule type="cellIs" dxfId="68" priority="88" operator="equal">
      <formula>"Intolerable"</formula>
    </cfRule>
    <cfRule type="cellIs" dxfId="67" priority="89" operator="equal">
      <formula>"Importante"</formula>
    </cfRule>
    <cfRule type="cellIs" dxfId="66" priority="90" operator="equal">
      <formula>"Moderado"</formula>
    </cfRule>
    <cfRule type="cellIs" dxfId="65" priority="91" operator="equal">
      <formula>"Tolerable"</formula>
    </cfRule>
  </conditionalFormatting>
  <conditionalFormatting sqref="T9">
    <cfRule type="cellIs" dxfId="64" priority="84" operator="equal">
      <formula>"Intolerable"</formula>
    </cfRule>
    <cfRule type="cellIs" dxfId="63" priority="85" operator="equal">
      <formula>"Importante"</formula>
    </cfRule>
    <cfRule type="cellIs" dxfId="62" priority="86" operator="equal">
      <formula>"Moderado"</formula>
    </cfRule>
    <cfRule type="cellIs" dxfId="61" priority="87" operator="equal">
      <formula>"Tolerable"</formula>
    </cfRule>
  </conditionalFormatting>
  <conditionalFormatting sqref="T11:T17 T19:T50">
    <cfRule type="cellIs" dxfId="60" priority="80" operator="equal">
      <formula>"Atención Inmediata"</formula>
    </cfRule>
    <cfRule type="cellIs" dxfId="59" priority="81" operator="equal">
      <formula>"Minimizarlo"</formula>
    </cfRule>
    <cfRule type="cellIs" dxfId="58" priority="82" operator="equal">
      <formula>"Controlarlo"</formula>
    </cfRule>
    <cfRule type="cellIs" dxfId="57" priority="83" operator="equal">
      <formula>"Asumirlo"</formula>
    </cfRule>
  </conditionalFormatting>
  <conditionalFormatting sqref="U9">
    <cfRule type="cellIs" dxfId="56" priority="76" operator="equal">
      <formula>"Intolerable"</formula>
    </cfRule>
    <cfRule type="cellIs" dxfId="55" priority="77" operator="equal">
      <formula>"Importante"</formula>
    </cfRule>
    <cfRule type="cellIs" dxfId="54" priority="78" operator="equal">
      <formula>"Moderado"</formula>
    </cfRule>
    <cfRule type="cellIs" dxfId="53" priority="79" operator="equal">
      <formula>"Tolerable"</formula>
    </cfRule>
  </conditionalFormatting>
  <conditionalFormatting sqref="T11:T17 T19:T87">
    <cfRule type="cellIs" dxfId="52" priority="58" operator="equal">
      <formula>"A CONSIDERAR"</formula>
    </cfRule>
    <cfRule type="containsText" dxfId="51" priority="59" operator="containsText" text="Explotarla">
      <formula>NOT(ISERROR(SEARCH("Explotarla",T11)))</formula>
    </cfRule>
    <cfRule type="containsText" dxfId="50" priority="60" operator="containsText" text="Apropiarse">
      <formula>NOT(ISERROR(SEARCH("Apropiarse",T11)))</formula>
    </cfRule>
    <cfRule type="containsText" dxfId="49" priority="61" operator="containsText" text="ABORDAR">
      <formula>NOT(ISERROR(SEARCH("ABORDAR",T11)))</formula>
    </cfRule>
    <cfRule type="containsText" dxfId="48" priority="62" operator="containsText" text="ANALIZAR">
      <formula>NOT(ISERROR(SEARCH("ANALIZAR",T11)))</formula>
    </cfRule>
    <cfRule type="cellIs" dxfId="47" priority="63" operator="equal">
      <formula>"Atención Inmediata"</formula>
    </cfRule>
    <cfRule type="cellIs" dxfId="46" priority="64" operator="equal">
      <formula>"Minimizarlo"</formula>
    </cfRule>
    <cfRule type="cellIs" dxfId="45" priority="65" operator="equal">
      <formula>"Controlarlo"</formula>
    </cfRule>
    <cfRule type="cellIs" dxfId="44" priority="66" operator="equal">
      <formula>"Asumirlo"</formula>
    </cfRule>
  </conditionalFormatting>
  <conditionalFormatting sqref="S87">
    <cfRule type="cellIs" dxfId="43" priority="53" operator="between">
      <formula>1</formula>
      <formula>199</formula>
    </cfRule>
  </conditionalFormatting>
  <conditionalFormatting sqref="S12:S17 S19:S87">
    <cfRule type="cellIs" dxfId="42" priority="49" operator="equal">
      <formula>"Limitada"</formula>
    </cfRule>
    <cfRule type="cellIs" dxfId="41" priority="50" operator="equal">
      <formula>"Media"</formula>
    </cfRule>
    <cfRule type="cellIs" dxfId="40" priority="51" operator="equal">
      <formula>"Potencial"</formula>
    </cfRule>
    <cfRule type="cellIs" dxfId="39" priority="52" operator="equal">
      <formula>"Tolerable"</formula>
    </cfRule>
    <cfRule type="cellIs" dxfId="38" priority="54" operator="equal">
      <formula>"Sobresaliente"</formula>
    </cfRule>
    <cfRule type="cellIs" dxfId="37" priority="55" operator="equal">
      <formula>"Moderado"</formula>
    </cfRule>
    <cfRule type="cellIs" dxfId="36" priority="56" operator="equal">
      <formula>"Importante"</formula>
    </cfRule>
    <cfRule type="cellIs" dxfId="35" priority="57" operator="equal">
      <formula>"Intolerable"</formula>
    </cfRule>
  </conditionalFormatting>
  <conditionalFormatting sqref="R11">
    <cfRule type="cellIs" dxfId="34" priority="48" operator="equal">
      <formula>0</formula>
    </cfRule>
  </conditionalFormatting>
  <conditionalFormatting sqref="S11">
    <cfRule type="cellIs" dxfId="33" priority="44" operator="equal">
      <formula>"Intolerable"</formula>
    </cfRule>
    <cfRule type="cellIs" dxfId="32" priority="45" operator="equal">
      <formula>"Importante"</formula>
    </cfRule>
    <cfRule type="cellIs" dxfId="31" priority="46" operator="equal">
      <formula>"Moderado"</formula>
    </cfRule>
    <cfRule type="cellIs" dxfId="30" priority="47" operator="equal">
      <formula>"Tolerable"</formula>
    </cfRule>
  </conditionalFormatting>
  <conditionalFormatting sqref="S11">
    <cfRule type="cellIs" dxfId="29" priority="23" operator="equal">
      <formula>"Limitada"</formula>
    </cfRule>
    <cfRule type="cellIs" dxfId="28" priority="24" operator="equal">
      <formula>"Media"</formula>
    </cfRule>
    <cfRule type="cellIs" dxfId="27" priority="25" operator="equal">
      <formula>"Potencial"</formula>
    </cfRule>
    <cfRule type="cellIs" dxfId="26" priority="26" operator="equal">
      <formula>"Tolerable"</formula>
    </cfRule>
    <cfRule type="cellIs" dxfId="25" priority="27" operator="equal">
      <formula>"Sobresaliente"</formula>
    </cfRule>
    <cfRule type="cellIs" dxfId="24" priority="28" operator="equal">
      <formula>"Moderado"</formula>
    </cfRule>
    <cfRule type="cellIs" dxfId="23" priority="29" operator="equal">
      <formula>"Importante"</formula>
    </cfRule>
    <cfRule type="cellIs" dxfId="22" priority="30" operator="equal">
      <formula>"Intolerable"</formula>
    </cfRule>
  </conditionalFormatting>
  <conditionalFormatting sqref="R18">
    <cfRule type="cellIs" dxfId="21" priority="22" operator="equal">
      <formula>0</formula>
    </cfRule>
  </conditionalFormatting>
  <conditionalFormatting sqref="T18">
    <cfRule type="cellIs" dxfId="20" priority="18" operator="equal">
      <formula>"Atención Inmediata"</formula>
    </cfRule>
    <cfRule type="cellIs" dxfId="19" priority="19" operator="equal">
      <formula>"Minimizarlo"</formula>
    </cfRule>
    <cfRule type="cellIs" dxfId="18" priority="20" operator="equal">
      <formula>"Controlarlo"</formula>
    </cfRule>
    <cfRule type="cellIs" dxfId="17" priority="21" operator="equal">
      <formula>"Asumirlo"</formula>
    </cfRule>
  </conditionalFormatting>
  <conditionalFormatting sqref="T18">
    <cfRule type="cellIs" dxfId="16" priority="9" operator="equal">
      <formula>"A CONSIDERAR"</formula>
    </cfRule>
    <cfRule type="containsText" dxfId="15" priority="10" operator="containsText" text="Explotarla">
      <formula>NOT(ISERROR(SEARCH("Explotarla",T18)))</formula>
    </cfRule>
    <cfRule type="containsText" dxfId="14" priority="11" operator="containsText" text="Apropiarse">
      <formula>NOT(ISERROR(SEARCH("Apropiarse",T18)))</formula>
    </cfRule>
    <cfRule type="containsText" dxfId="13" priority="12" operator="containsText" text="ABORDAR">
      <formula>NOT(ISERROR(SEARCH("ABORDAR",T18)))</formula>
    </cfRule>
    <cfRule type="containsText" dxfId="12" priority="13" operator="containsText" text="ANALIZAR">
      <formula>NOT(ISERROR(SEARCH("ANALIZAR",T18)))</formula>
    </cfRule>
    <cfRule type="cellIs" dxfId="11" priority="14" operator="equal">
      <formula>"Atención Inmediata"</formula>
    </cfRule>
    <cfRule type="cellIs" dxfId="10" priority="15" operator="equal">
      <formula>"Minimizarlo"</formula>
    </cfRule>
    <cfRule type="cellIs" dxfId="9" priority="16" operator="equal">
      <formula>"Controlarlo"</formula>
    </cfRule>
    <cfRule type="cellIs" dxfId="8" priority="17" operator="equal">
      <formula>"Asumirlo"</formula>
    </cfRule>
  </conditionalFormatting>
  <conditionalFormatting sqref="S18">
    <cfRule type="cellIs" dxfId="7" priority="1" operator="equal">
      <formula>"Limitada"</formula>
    </cfRule>
    <cfRule type="cellIs" dxfId="6" priority="2" operator="equal">
      <formula>"Media"</formula>
    </cfRule>
    <cfRule type="cellIs" dxfId="5" priority="3" operator="equal">
      <formula>"Potencial"</formula>
    </cfRule>
    <cfRule type="cellIs" dxfId="4" priority="4" operator="equal">
      <formula>"Tolerable"</formula>
    </cfRule>
    <cfRule type="cellIs" dxfId="3" priority="5" operator="equal">
      <formula>"Sobresaliente"</formula>
    </cfRule>
    <cfRule type="cellIs" dxfId="2" priority="6" operator="equal">
      <formula>"Moderado"</formula>
    </cfRule>
    <cfRule type="cellIs" dxfId="1" priority="7" operator="equal">
      <formula>"Importante"</formula>
    </cfRule>
    <cfRule type="cellIs" dxfId="0" priority="8" operator="equal">
      <formula>"Intolerable"</formula>
    </cfRule>
  </conditionalFormatting>
  <dataValidations count="7">
    <dataValidation type="list" allowBlank="1" showInputMessage="1" showErrorMessage="1" sqref="O26:O30" xr:uid="{00000000-0002-0000-0900-000000000000}">
      <formula1>"Político, Social/Cultural, Industrial, Operativo, Institucional, Financiera, Ambiental, Legal y Reglamentario, Salud"</formula1>
    </dataValidation>
    <dataValidation type="list" allowBlank="1" showInputMessage="1" showErrorMessage="1" sqref="O11:O25 O31:O50" xr:uid="{00000000-0002-0000-0900-000001000000}">
      <formula1>"Tecnológicos, Político, Social/Cultural, Industrial, Operativo, Institucional, Financiera, Ambiental, Legal y Reglamentario, Salud"</formula1>
    </dataValidation>
    <dataValidation type="list" allowBlank="1" showInputMessage="1" showErrorMessage="1" sqref="Q11:Q50" xr:uid="{00000000-0002-0000-0900-000002000000}">
      <formula1>"Menor, Moderado, Grave, Importante"</formula1>
    </dataValidation>
    <dataValidation type="list" allowBlank="1" showInputMessage="1" showErrorMessage="1" sqref="P11:P50" xr:uid="{00000000-0002-0000-0900-000003000000}">
      <formula1>"Baja, Media, Alta"</formula1>
    </dataValidation>
    <dataValidation type="list" allowBlank="1" showInputMessage="1" showErrorMessage="1" sqref="A11:A50" xr:uid="{00000000-0002-0000-0900-000004000000}">
      <formula1>"Fortaleza,Oportunidad,Debilidad,Amenaza"</formula1>
    </dataValidation>
    <dataValidation type="list" allowBlank="1" showInputMessage="1" showErrorMessage="1" sqref="C11:C50" xr:uid="{00000000-0002-0000-0900-000005000000}">
      <formula1>"Positivo,Negativo"</formula1>
    </dataValidation>
    <dataValidation type="list" allowBlank="1" showInputMessage="1" showErrorMessage="1" sqref="D11:N50" xr:uid="{00000000-0002-0000-0900-000006000000}">
      <formula1>"X"</formula1>
    </dataValidation>
  </dataValidations>
  <pageMargins left="0.25" right="0.25" top="0.75" bottom="0.75" header="0.3" footer="0.3"/>
  <pageSetup scale="23" fitToWidth="0" fitToHeight="0" orientation="landscape" r:id="rId1"/>
  <rowBreaks count="1" manualBreakCount="1">
    <brk id="4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view="pageLayout" zoomScaleNormal="60" workbookViewId="0">
      <selection activeCell="G20" sqref="G20"/>
    </sheetView>
  </sheetViews>
  <sheetFormatPr baseColWidth="10" defaultColWidth="11.44140625" defaultRowHeight="13.8" x14ac:dyDescent="0.25"/>
  <cols>
    <col min="1" max="2" width="15.6640625" style="116" customWidth="1"/>
    <col min="3" max="3" width="15.6640625" style="116" hidden="1" customWidth="1"/>
    <col min="4" max="4" width="31.109375" style="116" customWidth="1"/>
    <col min="5" max="5" width="108.88671875" style="116" customWidth="1"/>
    <col min="6" max="16384" width="11.44140625" style="116"/>
  </cols>
  <sheetData>
    <row r="1" spans="1:5" ht="18.600000000000001" thickTop="1" thickBot="1" x14ac:dyDescent="0.3">
      <c r="A1" s="601" t="s">
        <v>174</v>
      </c>
      <c r="B1" s="602"/>
      <c r="C1" s="602"/>
      <c r="D1" s="602"/>
      <c r="E1" s="603"/>
    </row>
    <row r="2" spans="1:5" ht="33" customHeight="1" thickTop="1" thickBot="1" x14ac:dyDescent="0.3">
      <c r="A2" s="141" t="s">
        <v>102</v>
      </c>
      <c r="B2" s="142" t="s">
        <v>101</v>
      </c>
      <c r="C2" s="142"/>
      <c r="D2" s="143" t="s">
        <v>100</v>
      </c>
      <c r="E2" s="144" t="s">
        <v>99</v>
      </c>
    </row>
    <row r="3" spans="1:5" ht="164.25" customHeight="1" thickTop="1" x14ac:dyDescent="0.25">
      <c r="A3" s="117" t="s">
        <v>41</v>
      </c>
      <c r="B3" s="118" t="s">
        <v>76</v>
      </c>
      <c r="C3" s="119" t="s">
        <v>90</v>
      </c>
      <c r="D3" s="120" t="s">
        <v>146</v>
      </c>
      <c r="E3" s="121" t="s">
        <v>273</v>
      </c>
    </row>
    <row r="4" spans="1:5" ht="184.95" customHeight="1" x14ac:dyDescent="0.25">
      <c r="A4" s="122" t="s">
        <v>115</v>
      </c>
      <c r="B4" s="123" t="s">
        <v>76</v>
      </c>
      <c r="C4" s="124" t="s">
        <v>88</v>
      </c>
      <c r="D4" s="125" t="s">
        <v>147</v>
      </c>
      <c r="E4" s="126" t="s">
        <v>162</v>
      </c>
    </row>
    <row r="5" spans="1:5" ht="179.4" x14ac:dyDescent="0.25">
      <c r="A5" s="127" t="s">
        <v>116</v>
      </c>
      <c r="B5" s="123" t="s">
        <v>76</v>
      </c>
      <c r="C5" s="124" t="s">
        <v>86</v>
      </c>
      <c r="D5" s="128" t="s">
        <v>148</v>
      </c>
      <c r="E5" s="126" t="s">
        <v>163</v>
      </c>
    </row>
    <row r="6" spans="1:5" ht="199.5" customHeight="1" x14ac:dyDescent="0.25">
      <c r="A6" s="129" t="s">
        <v>36</v>
      </c>
      <c r="B6" s="123" t="s">
        <v>76</v>
      </c>
      <c r="C6" s="124" t="s">
        <v>84</v>
      </c>
      <c r="D6" s="130" t="s">
        <v>149</v>
      </c>
      <c r="E6" s="126" t="s">
        <v>164</v>
      </c>
    </row>
    <row r="7" spans="1:5" ht="219" customHeight="1" x14ac:dyDescent="0.25">
      <c r="A7" s="117" t="s">
        <v>41</v>
      </c>
      <c r="B7" s="131" t="s">
        <v>144</v>
      </c>
      <c r="C7" s="124" t="s">
        <v>98</v>
      </c>
      <c r="D7" s="132" t="s">
        <v>150</v>
      </c>
      <c r="E7" s="126" t="s">
        <v>165</v>
      </c>
    </row>
    <row r="8" spans="1:5" ht="231.75" customHeight="1" x14ac:dyDescent="0.25">
      <c r="A8" s="122" t="s">
        <v>115</v>
      </c>
      <c r="B8" s="131" t="s">
        <v>144</v>
      </c>
      <c r="C8" s="124" t="s">
        <v>97</v>
      </c>
      <c r="D8" s="125" t="s">
        <v>151</v>
      </c>
      <c r="E8" s="126" t="s">
        <v>166</v>
      </c>
    </row>
    <row r="9" spans="1:5" ht="181.2" customHeight="1" x14ac:dyDescent="0.25">
      <c r="A9" s="133" t="s">
        <v>116</v>
      </c>
      <c r="B9" s="131" t="s">
        <v>144</v>
      </c>
      <c r="C9" s="124" t="s">
        <v>96</v>
      </c>
      <c r="D9" s="128" t="s">
        <v>152</v>
      </c>
      <c r="E9" s="126" t="s">
        <v>167</v>
      </c>
    </row>
    <row r="10" spans="1:5" ht="203.25" customHeight="1" x14ac:dyDescent="0.25">
      <c r="A10" s="129" t="s">
        <v>36</v>
      </c>
      <c r="B10" s="131" t="s">
        <v>144</v>
      </c>
      <c r="C10" s="124" t="s">
        <v>95</v>
      </c>
      <c r="D10" s="130" t="s">
        <v>153</v>
      </c>
      <c r="E10" s="126" t="s">
        <v>168</v>
      </c>
    </row>
    <row r="11" spans="1:5" ht="218.25" customHeight="1" x14ac:dyDescent="0.25">
      <c r="A11" s="117" t="s">
        <v>41</v>
      </c>
      <c r="B11" s="134" t="s">
        <v>145</v>
      </c>
      <c r="C11" s="124" t="s">
        <v>94</v>
      </c>
      <c r="D11" s="132" t="s">
        <v>154</v>
      </c>
      <c r="E11" s="126" t="s">
        <v>169</v>
      </c>
    </row>
    <row r="12" spans="1:5" ht="213.75" customHeight="1" x14ac:dyDescent="0.25">
      <c r="A12" s="122" t="s">
        <v>115</v>
      </c>
      <c r="B12" s="134" t="s">
        <v>145</v>
      </c>
      <c r="C12" s="124" t="s">
        <v>93</v>
      </c>
      <c r="D12" s="125" t="s">
        <v>155</v>
      </c>
      <c r="E12" s="126" t="s">
        <v>170</v>
      </c>
    </row>
    <row r="13" spans="1:5" ht="238.95" customHeight="1" x14ac:dyDescent="0.25">
      <c r="A13" s="127" t="s">
        <v>116</v>
      </c>
      <c r="B13" s="134" t="s">
        <v>145</v>
      </c>
      <c r="C13" s="124" t="s">
        <v>92</v>
      </c>
      <c r="D13" s="128" t="s">
        <v>156</v>
      </c>
      <c r="E13" s="126" t="s">
        <v>171</v>
      </c>
    </row>
    <row r="14" spans="1:5" ht="240.75" customHeight="1" x14ac:dyDescent="0.25">
      <c r="A14" s="129" t="s">
        <v>36</v>
      </c>
      <c r="B14" s="134" t="s">
        <v>145</v>
      </c>
      <c r="C14" s="124" t="s">
        <v>91</v>
      </c>
      <c r="D14" s="130" t="s">
        <v>157</v>
      </c>
      <c r="E14" s="126" t="s">
        <v>172</v>
      </c>
    </row>
    <row r="15" spans="1:5" ht="163.5" customHeight="1" x14ac:dyDescent="0.25">
      <c r="A15" s="117" t="s">
        <v>41</v>
      </c>
      <c r="B15" s="135" t="s">
        <v>80</v>
      </c>
      <c r="C15" s="124" t="s">
        <v>89</v>
      </c>
      <c r="D15" s="132" t="s">
        <v>158</v>
      </c>
      <c r="E15" s="126" t="s">
        <v>173</v>
      </c>
    </row>
    <row r="16" spans="1:5" ht="181.2" customHeight="1" x14ac:dyDescent="0.25">
      <c r="A16" s="122" t="s">
        <v>115</v>
      </c>
      <c r="B16" s="135" t="s">
        <v>80</v>
      </c>
      <c r="C16" s="124" t="s">
        <v>87</v>
      </c>
      <c r="D16" s="125" t="s">
        <v>159</v>
      </c>
      <c r="E16" s="126" t="s">
        <v>173</v>
      </c>
    </row>
    <row r="17" spans="1:5" ht="174.75" customHeight="1" x14ac:dyDescent="0.25">
      <c r="A17" s="127" t="s">
        <v>116</v>
      </c>
      <c r="B17" s="135" t="s">
        <v>80</v>
      </c>
      <c r="C17" s="124" t="s">
        <v>85</v>
      </c>
      <c r="D17" s="128" t="s">
        <v>160</v>
      </c>
      <c r="E17" s="126" t="s">
        <v>173</v>
      </c>
    </row>
    <row r="18" spans="1:5" ht="190.5" customHeight="1" thickBot="1" x14ac:dyDescent="0.3">
      <c r="A18" s="136" t="s">
        <v>36</v>
      </c>
      <c r="B18" s="137" t="s">
        <v>80</v>
      </c>
      <c r="C18" s="138" t="s">
        <v>83</v>
      </c>
      <c r="D18" s="139" t="s">
        <v>161</v>
      </c>
      <c r="E18" s="140" t="s">
        <v>173</v>
      </c>
    </row>
    <row r="19" spans="1:5" ht="14.4" thickTop="1" x14ac:dyDescent="0.25"/>
  </sheetData>
  <mergeCells count="1">
    <mergeCell ref="A1:E1"/>
  </mergeCells>
  <pageMargins left="0.98425196850393704" right="0.98425196850393704" top="1.2350000000000001" bottom="1.1811023622047245" header="0.59055118110236227" footer="0.59055118110236227"/>
  <pageSetup scale="48" orientation="portrait" r:id="rId1"/>
  <headerFooter>
    <oddHeader>&amp;L&amp;G&amp;C&amp;"Arial,Negrita"&amp;18Plan Estratégico 
de la 
Organización</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6"/>
  <dimension ref="A1:Q13"/>
  <sheetViews>
    <sheetView zoomScaleNormal="100" workbookViewId="0">
      <selection activeCell="B3" sqref="B3"/>
    </sheetView>
  </sheetViews>
  <sheetFormatPr baseColWidth="10" defaultColWidth="11.44140625" defaultRowHeight="14.4" x14ac:dyDescent="0.3"/>
  <cols>
    <col min="1" max="1" width="14.109375" customWidth="1"/>
  </cols>
  <sheetData>
    <row r="1" spans="1:17" x14ac:dyDescent="0.3">
      <c r="A1" s="604" t="s">
        <v>11</v>
      </c>
      <c r="B1" s="605"/>
      <c r="D1" s="604" t="s">
        <v>207</v>
      </c>
      <c r="E1" s="605"/>
      <c r="G1" s="604" t="s">
        <v>29</v>
      </c>
      <c r="H1" s="605"/>
      <c r="J1" s="2"/>
      <c r="K1" s="2"/>
      <c r="L1" s="2"/>
      <c r="M1" s="2"/>
      <c r="N1" s="2"/>
      <c r="O1" s="2"/>
      <c r="P1" s="2"/>
      <c r="Q1" s="2"/>
    </row>
    <row r="2" spans="1:17" x14ac:dyDescent="0.3">
      <c r="A2" s="1" t="s">
        <v>8</v>
      </c>
      <c r="B2">
        <v>5</v>
      </c>
      <c r="D2" s="1" t="s">
        <v>17</v>
      </c>
      <c r="E2">
        <v>1</v>
      </c>
      <c r="G2" s="3" t="s">
        <v>208</v>
      </c>
      <c r="H2">
        <v>1</v>
      </c>
      <c r="J2" s="5"/>
      <c r="K2" s="5"/>
      <c r="L2" s="5"/>
      <c r="M2" s="5"/>
      <c r="N2" s="5"/>
      <c r="O2" s="5"/>
      <c r="P2" s="5"/>
      <c r="Q2" s="5"/>
    </row>
    <row r="3" spans="1:17" x14ac:dyDescent="0.3">
      <c r="A3" s="1" t="s">
        <v>6</v>
      </c>
      <c r="B3">
        <v>5</v>
      </c>
      <c r="D3" s="1" t="s">
        <v>16</v>
      </c>
      <c r="E3">
        <v>7</v>
      </c>
      <c r="G3" s="3" t="s">
        <v>4</v>
      </c>
      <c r="H3">
        <v>7</v>
      </c>
      <c r="J3" s="5"/>
      <c r="K3" s="5"/>
      <c r="L3" s="5"/>
      <c r="M3" s="5"/>
      <c r="N3" s="5"/>
      <c r="O3" s="5"/>
      <c r="P3" s="5"/>
      <c r="Q3" s="5"/>
    </row>
    <row r="4" spans="1:17" ht="15" customHeight="1" x14ac:dyDescent="0.3">
      <c r="A4" s="1" t="s">
        <v>5</v>
      </c>
      <c r="B4">
        <v>10</v>
      </c>
      <c r="D4" s="1" t="s">
        <v>13</v>
      </c>
      <c r="E4">
        <v>10</v>
      </c>
      <c r="G4" s="3" t="s">
        <v>15</v>
      </c>
      <c r="H4">
        <v>10</v>
      </c>
      <c r="J4" s="5"/>
      <c r="K4" s="5"/>
      <c r="L4" s="6"/>
      <c r="M4" s="6"/>
      <c r="N4" s="6"/>
      <c r="O4" s="6"/>
      <c r="P4" s="6"/>
      <c r="Q4" s="6"/>
    </row>
    <row r="5" spans="1:17" ht="15" customHeight="1" x14ac:dyDescent="0.3">
      <c r="A5" s="1" t="s">
        <v>206</v>
      </c>
      <c r="B5">
        <v>8</v>
      </c>
      <c r="G5" s="3" t="s">
        <v>218</v>
      </c>
      <c r="H5">
        <v>10</v>
      </c>
      <c r="J5" s="5"/>
      <c r="K5" s="5"/>
      <c r="L5" s="6"/>
      <c r="M5" s="6"/>
      <c r="N5" s="6"/>
      <c r="O5" s="6"/>
      <c r="P5" s="6"/>
      <c r="Q5" s="6"/>
    </row>
    <row r="6" spans="1:17" x14ac:dyDescent="0.3">
      <c r="A6" s="1" t="s">
        <v>7</v>
      </c>
      <c r="B6">
        <v>7</v>
      </c>
      <c r="J6" s="5"/>
      <c r="K6" s="5"/>
      <c r="L6" s="5"/>
      <c r="M6" s="5"/>
      <c r="N6" s="5"/>
      <c r="O6" s="5"/>
      <c r="P6" s="5"/>
      <c r="Q6" s="5"/>
    </row>
    <row r="7" spans="1:17" x14ac:dyDescent="0.3">
      <c r="A7" s="1" t="s">
        <v>9</v>
      </c>
      <c r="B7">
        <v>8</v>
      </c>
      <c r="J7" s="5"/>
      <c r="K7" s="5"/>
      <c r="L7" s="5"/>
      <c r="M7" s="5"/>
      <c r="N7" s="5"/>
      <c r="O7" s="5"/>
      <c r="P7" s="5"/>
      <c r="Q7" s="5"/>
    </row>
    <row r="8" spans="1:17" ht="28.8" x14ac:dyDescent="0.3">
      <c r="A8" s="1" t="s">
        <v>10</v>
      </c>
      <c r="B8">
        <v>9</v>
      </c>
      <c r="J8" s="2"/>
      <c r="K8" s="2"/>
      <c r="L8" s="2"/>
      <c r="M8" s="2"/>
      <c r="N8" s="2"/>
      <c r="O8" s="2"/>
      <c r="P8" s="2"/>
      <c r="Q8" s="2"/>
    </row>
    <row r="9" spans="1:17" x14ac:dyDescent="0.3">
      <c r="A9" s="1" t="s">
        <v>12</v>
      </c>
      <c r="B9">
        <v>10</v>
      </c>
      <c r="J9" s="2"/>
      <c r="K9" s="2"/>
      <c r="L9" s="2"/>
      <c r="M9" s="2"/>
      <c r="N9" s="2"/>
      <c r="O9" s="2"/>
      <c r="P9" s="2"/>
      <c r="Q9" s="2"/>
    </row>
    <row r="10" spans="1:17" x14ac:dyDescent="0.3">
      <c r="A10" s="3" t="s">
        <v>219</v>
      </c>
      <c r="B10">
        <v>6</v>
      </c>
      <c r="J10" s="2"/>
      <c r="K10" s="2"/>
      <c r="L10" s="2"/>
      <c r="M10" s="2"/>
      <c r="N10" s="2"/>
      <c r="O10" s="2"/>
      <c r="P10" s="2"/>
      <c r="Q10" s="2"/>
    </row>
    <row r="11" spans="1:17" x14ac:dyDescent="0.3">
      <c r="A11" s="3" t="s">
        <v>222</v>
      </c>
      <c r="B11">
        <v>6</v>
      </c>
      <c r="J11" s="2"/>
      <c r="K11" s="2"/>
      <c r="L11" s="2"/>
      <c r="M11" s="2"/>
      <c r="N11" s="2"/>
      <c r="O11" s="2"/>
      <c r="P11" s="2"/>
      <c r="Q11" s="2"/>
    </row>
    <row r="12" spans="1:17" x14ac:dyDescent="0.3">
      <c r="J12" s="2"/>
      <c r="K12" s="2"/>
      <c r="L12" s="2"/>
      <c r="M12" s="2"/>
      <c r="N12" s="2"/>
      <c r="O12" s="2"/>
      <c r="P12" s="2"/>
      <c r="Q12" s="2"/>
    </row>
    <row r="13" spans="1:17" x14ac:dyDescent="0.3">
      <c r="I13" s="4"/>
      <c r="J13" s="2"/>
      <c r="K13" s="2"/>
      <c r="L13" s="2"/>
      <c r="M13" s="2"/>
      <c r="N13" s="2"/>
      <c r="O13" s="2"/>
      <c r="P13" s="2"/>
      <c r="Q13" s="2"/>
    </row>
  </sheetData>
  <mergeCells count="3">
    <mergeCell ref="G1:H1"/>
    <mergeCell ref="A1:B1"/>
    <mergeCell ref="D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11</vt:i4>
      </vt:variant>
    </vt:vector>
  </HeadingPairs>
  <TitlesOfParts>
    <vt:vector size="23" baseType="lpstr">
      <vt:lpstr>INDICE</vt:lpstr>
      <vt:lpstr>INTRO</vt:lpstr>
      <vt:lpstr>1a. Misión, Visión</vt:lpstr>
      <vt:lpstr>1b. Política y Objetivos</vt:lpstr>
      <vt:lpstr>1c. Alcance del SGC</vt:lpstr>
      <vt:lpstr>2a. Análisis Foda</vt:lpstr>
      <vt:lpstr>2b. Matriz Posicionamiento</vt:lpstr>
      <vt:lpstr>3a.Matríz de Partes Interesadas</vt:lpstr>
      <vt:lpstr>4a. Parámetros de riesgo</vt:lpstr>
      <vt:lpstr>4b. Matriz - Contexto</vt:lpstr>
      <vt:lpstr>Perfiles</vt:lpstr>
      <vt:lpstr>Ponderación</vt:lpstr>
      <vt:lpstr>'1a. Misión, Visión'!Área_de_impresión</vt:lpstr>
      <vt:lpstr>'1b. Política y Objetivos'!Área_de_impresión</vt:lpstr>
      <vt:lpstr>'1c. Alcance del SGC'!Área_de_impresión</vt:lpstr>
      <vt:lpstr>'2a. Análisis Foda'!Área_de_impresión</vt:lpstr>
      <vt:lpstr>'2b. Matriz Posicionamiento'!Área_de_impresión</vt:lpstr>
      <vt:lpstr>'3a.Matríz de Partes Interesadas'!Área_de_impresión</vt:lpstr>
      <vt:lpstr>INDICE!Área_de_impresión</vt:lpstr>
      <vt:lpstr>INTRO!Área_de_impresión</vt:lpstr>
      <vt:lpstr>Naturaleza</vt:lpstr>
      <vt:lpstr>Probabilidad</vt:lpstr>
      <vt:lpstr>Severidad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ricardo.sanchezs@ine.mx</dc:creator>
  <cp:lastModifiedBy>OLVERA AGUILA JORGE ALFONSO</cp:lastModifiedBy>
  <cp:lastPrinted>2020-01-27T21:40:20Z</cp:lastPrinted>
  <dcterms:created xsi:type="dcterms:W3CDTF">2016-06-29T13:31:45Z</dcterms:created>
  <dcterms:modified xsi:type="dcterms:W3CDTF">2021-10-07T15:40:17Z</dcterms:modified>
</cp:coreProperties>
</file>