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SGC-INE 7 ENTIDADES\Portal Puebla\SGC INE Final PDF)\B)SGC\7 Resultados del sistema\Seguimiento al SGC-Indicadores\Soporte\"/>
    </mc:Choice>
  </mc:AlternateContent>
  <bookViews>
    <workbookView xWindow="0" yWindow="0" windowWidth="9090" windowHeight="7725" tabRatio="689"/>
  </bookViews>
  <sheets>
    <sheet name="Proceso de Apoyo" sheetId="9" r:id="rId1"/>
    <sheet name="RECLUTAMIENTO, CAPA Y EVAL" sheetId="10" state="hidden" r:id="rId2"/>
    <sheet name="capacitacion " sheetId="12" state="hidden" r:id="rId3"/>
  </sheets>
  <definedNames>
    <definedName name="_xlnm.Print_Titles" localSheetId="0">'Proceso de Apoyo'!$1:$2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34" i="9" l="1"/>
  <c r="T35" i="9"/>
  <c r="T36" i="9"/>
  <c r="T37" i="9"/>
  <c r="T38" i="9"/>
  <c r="T39" i="9"/>
  <c r="T40" i="9"/>
  <c r="T41" i="9"/>
  <c r="T42" i="9"/>
  <c r="T43" i="9"/>
  <c r="T44" i="9"/>
  <c r="T45" i="9"/>
  <c r="P34" i="9"/>
  <c r="P35" i="9"/>
  <c r="P36" i="9"/>
  <c r="P37" i="9"/>
  <c r="P38" i="9"/>
  <c r="P39" i="9"/>
  <c r="P40" i="9"/>
  <c r="P41" i="9"/>
  <c r="P42" i="9"/>
  <c r="P43" i="9"/>
  <c r="P44" i="9"/>
  <c r="P45" i="9"/>
  <c r="P47" i="9" l="1"/>
  <c r="T47" i="9"/>
  <c r="T46" i="9" l="1"/>
  <c r="T33" i="9"/>
  <c r="P46" i="9"/>
  <c r="P33" i="9"/>
  <c r="H9" i="9"/>
  <c r="P32" i="9" l="1"/>
  <c r="U31" i="9" s="1"/>
  <c r="T32" i="9"/>
  <c r="B87" i="9"/>
  <c r="Q9" i="9" l="1"/>
  <c r="N82" i="9" l="1"/>
  <c r="N80" i="9"/>
  <c r="N79" i="9"/>
  <c r="N78" i="9"/>
  <c r="I61" i="10"/>
  <c r="I65" i="10" s="1"/>
  <c r="N81" i="9" s="1"/>
  <c r="I31" i="10"/>
  <c r="I19" i="10"/>
  <c r="N77" i="9" l="1"/>
  <c r="G76" i="9" l="1"/>
  <c r="I9" i="9"/>
  <c r="J9" i="9"/>
  <c r="K9" i="9"/>
  <c r="L9" i="9"/>
  <c r="M9" i="9"/>
  <c r="N9" i="9"/>
  <c r="O9" i="9"/>
  <c r="P9" i="9"/>
  <c r="R9" i="9"/>
  <c r="S9" i="9"/>
  <c r="T9" i="9"/>
  <c r="U8" i="9" l="1"/>
  <c r="G63" i="9" s="1"/>
  <c r="U52" i="9" l="1"/>
  <c r="G87" i="9" s="1"/>
  <c r="U49" i="9"/>
  <c r="G84" i="9" s="1"/>
  <c r="U28" i="9"/>
  <c r="G73" i="9" s="1"/>
  <c r="U26" i="9"/>
  <c r="G71" i="9" s="1"/>
</calcChain>
</file>

<file path=xl/sharedStrings.xml><?xml version="1.0" encoding="utf-8"?>
<sst xmlns="http://schemas.openxmlformats.org/spreadsheetml/2006/main" count="170" uniqueCount="122">
  <si>
    <t>Resultados Mensuales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</si>
  <si>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</si>
  <si>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</si>
  <si>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</si>
  <si>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</si>
  <si>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</si>
  <si>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</si>
  <si>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</si>
  <si>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</si>
  <si>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</si>
  <si>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</si>
  <si>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</si>
  <si>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</si>
  <si>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Objetivo</t>
  </si>
  <si>
    <t>Número</t>
  </si>
  <si>
    <t>Indicador</t>
  </si>
  <si>
    <t xml:space="preserve">Periodo </t>
  </si>
  <si>
    <t>Cálculo</t>
  </si>
  <si>
    <t>DESCRIPCIÓN</t>
  </si>
  <si>
    <t>MEDICIÓN</t>
  </si>
  <si>
    <t>Estimado</t>
  </si>
  <si>
    <t>% AVANCE REGISTRADO</t>
  </si>
  <si>
    <t>Nominativo</t>
  </si>
  <si>
    <t xml:space="preserve">Proceso </t>
  </si>
  <si>
    <t>Valor esperado</t>
  </si>
  <si>
    <t xml:space="preserve">Valor sufiencnte </t>
  </si>
  <si>
    <t>Registre el valor nominal solicitado en la celda, el resultado proporcional esta automatizado.</t>
  </si>
  <si>
    <t>Obtenido</t>
  </si>
  <si>
    <t xml:space="preserve">CUADRO DE OBSERVACIONES </t>
  </si>
  <si>
    <t>Descripción</t>
  </si>
  <si>
    <t xml:space="preserve">No conformidad </t>
  </si>
  <si>
    <t>TABLERO DE CONTROL DE PROCESOS DE APOYO DEL SISTEMA DE GESTIÓN DE LA CALIDAD</t>
  </si>
  <si>
    <t xml:space="preserve">Selección y contratación de personal </t>
  </si>
  <si>
    <t>Capacitación</t>
  </si>
  <si>
    <t>Desempeño Laboral</t>
  </si>
  <si>
    <t>Soporte Técnico</t>
  </si>
  <si>
    <t xml:space="preserve">Valor que requiere atención y justificación en el apartado de observaciones </t>
  </si>
  <si>
    <t>Participación efectiva</t>
  </si>
  <si>
    <t xml:space="preserve">Aprovechamiento </t>
  </si>
  <si>
    <t xml:space="preserve">Por campaña </t>
  </si>
  <si>
    <t>(Participantes efectivos en el curso/Participantes inscritos al curso)*100</t>
  </si>
  <si>
    <t>(Sumatoria de calificaciones obtenidas/Participantes efectivos en el curso)*100</t>
  </si>
  <si>
    <t>Participantes inscritos al curso</t>
  </si>
  <si>
    <t>Participantes efectivos en el curso</t>
  </si>
  <si>
    <t>Sumatoria de calificaciones obtenida</t>
  </si>
  <si>
    <t>Efectividad de atención</t>
  </si>
  <si>
    <t>Por campaña</t>
  </si>
  <si>
    <t>(Solicitudes atendidas/Casos CAU levantados)*100</t>
  </si>
  <si>
    <t>Casos CAU levantados</t>
  </si>
  <si>
    <t>(Solicitudes atendidas/Solicitudes presentadas)*100</t>
  </si>
  <si>
    <t>Solicitudes presentadas</t>
  </si>
  <si>
    <t>Solicitudes atendidas</t>
  </si>
  <si>
    <t>Rotación de personal</t>
  </si>
  <si>
    <t>Plantilla de personal autorizado MAC</t>
  </si>
  <si>
    <t>((Plantilla de personal autorizado MAC-Vacantes generadas)/Plantilla de personal autorizado MAC)*100</t>
  </si>
  <si>
    <t>Total de vacantes generadas</t>
  </si>
  <si>
    <t>Distrito 01</t>
  </si>
  <si>
    <t>Distrito 02</t>
  </si>
  <si>
    <t>Distrito 03</t>
  </si>
  <si>
    <t>80 pts</t>
  </si>
  <si>
    <t xml:space="preserve">No. </t>
  </si>
  <si>
    <t xml:space="preserve">Nombre </t>
  </si>
  <si>
    <t>Evaluación</t>
  </si>
  <si>
    <t xml:space="preserve">Puesto </t>
  </si>
  <si>
    <t xml:space="preserve">Total </t>
  </si>
  <si>
    <t xml:space="preserve">Vacante </t>
  </si>
  <si>
    <t>Total</t>
  </si>
  <si>
    <t>Nombre de la sustitucion</t>
  </si>
  <si>
    <t>Promedio anual</t>
  </si>
  <si>
    <t>Promedio de evaluación de desempeño</t>
  </si>
  <si>
    <t xml:space="preserve">Por semestre </t>
  </si>
  <si>
    <t>Total de plantilla evaluada</t>
  </si>
  <si>
    <t>Sumatoria de evaluaciones de la plantilla</t>
  </si>
  <si>
    <t>(Promedio de la evaluación de la plantilla/Número de distritos)*100</t>
  </si>
  <si>
    <t>Solicitudes efectivas</t>
  </si>
  <si>
    <t xml:space="preserve">Semaforización </t>
  </si>
  <si>
    <t>Curso presencial de reforzamiento
Tema: Identificación de registros en la base de datos del Padrón Electoral
Agosto 2019</t>
  </si>
  <si>
    <t>REGISTRO DE CALIFICACIONES</t>
  </si>
  <si>
    <t xml:space="preserve">Entidad </t>
  </si>
  <si>
    <t>Distrito</t>
  </si>
  <si>
    <t>Fecha</t>
  </si>
  <si>
    <t>Nombre del Instructor</t>
  </si>
  <si>
    <t>Cargo / Puesto</t>
  </si>
  <si>
    <t>ID</t>
  </si>
  <si>
    <t>NOMBRE</t>
  </si>
  <si>
    <t>CORREO INSTITUCIONAL</t>
  </si>
  <si>
    <t>PUESTO</t>
  </si>
  <si>
    <t>CALIFICACIÓN</t>
  </si>
  <si>
    <t>Registro Federal de Electores</t>
  </si>
  <si>
    <t>JLEVRFE</t>
  </si>
  <si>
    <t>Reclutamiento y Selección</t>
  </si>
  <si>
    <t>Suministro de bienes y servicios</t>
  </si>
  <si>
    <t>Desempeño del Personal</t>
  </si>
  <si>
    <t>Mensual</t>
  </si>
  <si>
    <t>CAMPAÑA ANUAL PERMENENTE 2019-2020</t>
  </si>
  <si>
    <t>CAI 2020</t>
  </si>
  <si>
    <t>PLANTILLA DE PERSONAL DE LA CAMPAÑA ANUAL</t>
  </si>
  <si>
    <t xml:space="preserve">CAP </t>
  </si>
  <si>
    <t>CAI</t>
  </si>
  <si>
    <t>CAP</t>
  </si>
  <si>
    <t xml:space="preserve">Permanencia de personal </t>
  </si>
  <si>
    <t>((Plantilla de personal autorizado de MAC-Vacantes generadas)/Plantilla de personal autorizado de MAC) * 100</t>
  </si>
  <si>
    <t>(Participantes efectivos en el curso/Participantes inscritos al curso) * 100</t>
  </si>
  <si>
    <t>Capacitación efectiva</t>
  </si>
  <si>
    <t>(Sumatoria de calificaciones obtenidas/Participantes efectivos en el curso</t>
  </si>
  <si>
    <t>(Promedio de la evaluación de la plantilla/Número de distritos) * 10</t>
  </si>
  <si>
    <t>(Solicitudes atendidas/Casos levantados) * 100</t>
  </si>
  <si>
    <t>(Solicitudes atendidas/Solicitudes presentadas) * 100</t>
  </si>
  <si>
    <t xml:space="preserve">PROCESOS DE APOYO E INDICADORES </t>
  </si>
  <si>
    <t>Distrito 04</t>
  </si>
  <si>
    <t>Distrito 05</t>
  </si>
  <si>
    <t>Distrito 06</t>
  </si>
  <si>
    <t>Distrito 07</t>
  </si>
  <si>
    <t>Distrito 08</t>
  </si>
  <si>
    <t>Distrito 09</t>
  </si>
  <si>
    <t>Distrito 10</t>
  </si>
  <si>
    <t>Distrito 11</t>
  </si>
  <si>
    <t>Distrito 12</t>
  </si>
  <si>
    <t>Distrito 13</t>
  </si>
  <si>
    <t>Distrito 14</t>
  </si>
  <si>
    <t>Distrito 15</t>
  </si>
  <si>
    <t xml:space="preserve">INSTITUTO NACIONAL ELECTORAL
SISTEMA DE GESTIÓN DE LA CALIDAD
PUEBLA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</si>
</sst>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0.0%"/>
  </numFmts>
  <fonts count="3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3"/>
      <name val="Arial"/>
      <family val="2"/>
    </font>
    <font>
      <b/>
      <sz val="11"/>
      <name val="Arial"/>
      <family val="2"/>
    </font>
    <font>
      <sz val="11"/>
      <name val="Tahoma"/>
      <family val="2"/>
    </font>
    <font>
      <b/>
      <sz val="11"/>
      <color rgb="FF333F4F"/>
      <name val="Arial"/>
      <family val="2"/>
    </font>
    <font>
      <b/>
      <sz val="10"/>
      <name val="Arial"/>
      <family val="2"/>
    </font>
    <font>
      <b/>
      <sz val="14"/>
      <color theme="0"/>
      <name val="Arial"/>
      <family val="2"/>
    </font>
    <font>
      <b/>
      <sz val="10"/>
      <color theme="3" tint="-0.249977111117893"/>
      <name val="Arial"/>
      <family val="2"/>
    </font>
    <font>
      <sz val="8"/>
      <color theme="1"/>
      <name val="Arial"/>
      <family val="2"/>
    </font>
    <font>
      <sz val="10"/>
      <color theme="3" tint="-0.249977111117893"/>
      <name val="Arial"/>
      <family val="2"/>
    </font>
    <font>
      <sz val="9"/>
      <color rgb="FF333F4F"/>
      <name val="Arial"/>
      <family val="2"/>
    </font>
    <font>
      <sz val="9"/>
      <color theme="1"/>
      <name val="Arial"/>
      <family val="2"/>
    </font>
    <font>
      <b/>
      <sz val="10"/>
      <color theme="0"/>
      <name val="Arial"/>
      <family val="2"/>
    </font>
    <font>
      <sz val="20"/>
      <color theme="0"/>
      <name val="Arial"/>
      <family val="2"/>
    </font>
    <font>
      <sz val="20"/>
      <name val="Arial"/>
      <family val="2"/>
    </font>
    <font>
      <b/>
      <sz val="8"/>
      <color theme="0"/>
      <name val="Arial"/>
      <family val="2"/>
    </font>
    <font>
      <sz val="8"/>
      <name val="Arial"/>
      <family val="2"/>
    </font>
    <font>
      <sz val="8"/>
      <color theme="3" tint="-0.249977111117893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b/>
      <sz val="20"/>
      <color theme="0"/>
      <name val="Arial"/>
      <family val="2"/>
    </font>
    <font>
      <b/>
      <sz val="18"/>
      <color theme="1"/>
      <name val="Arial Narrow"/>
      <family val="2"/>
    </font>
    <font>
      <b/>
      <sz val="16"/>
      <color theme="0"/>
      <name val="Arial Narrow"/>
      <family val="2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sz val="16"/>
      <color theme="1"/>
      <name val="Arial Narrow"/>
      <family val="2"/>
    </font>
    <font>
      <sz val="16"/>
      <color theme="1"/>
      <name val="Calibri"/>
      <family val="2"/>
      <scheme val="minor"/>
    </font>
    <font>
      <b/>
      <sz val="20"/>
      <color theme="1"/>
      <name val="Arial Narrow"/>
      <family val="2"/>
    </font>
    <font>
      <u/>
      <sz val="11"/>
      <color theme="10"/>
      <name val="Calibri"/>
      <family val="2"/>
      <scheme val="minor"/>
    </font>
    <font>
      <sz val="16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rgb="FF950054"/>
        <bgColor indexed="64"/>
      </patternFill>
    </fill>
    <fill>
      <patternFill patternType="solid">
        <fgColor rgb="FFEBF1DE"/>
        <bgColor rgb="FFEBF1DE"/>
      </patternFill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98BD7"/>
        <bgColor indexed="64"/>
      </patternFill>
    </fill>
    <fill>
      <patternFill patternType="solid">
        <fgColor rgb="FFD5007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FF"/>
        <bgColor indexed="64"/>
      </patternFill>
    </fill>
  </fills>
  <borders count="2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" fillId="3" borderId="0" applyFont="0" applyBorder="0" applyAlignment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34" fillId="0" borderId="0" applyNumberFormat="0" applyFill="0" applyBorder="0" applyAlignment="0" applyProtection="0"/>
  </cellStyleXfs>
  <cellXfs count="19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right" vertical="top"/>
    </xf>
    <xf numFmtId="0" fontId="13" fillId="0" borderId="1" xfId="0" applyFont="1" applyBorder="1" applyAlignment="1">
      <alignment horizontal="center" vertical="center"/>
    </xf>
    <xf numFmtId="9" fontId="8" fillId="0" borderId="1" xfId="3" applyNumberFormat="1" applyFont="1" applyFill="1" applyBorder="1" applyAlignment="1">
      <alignment horizontal="center" vertical="center"/>
    </xf>
    <xf numFmtId="0" fontId="4" fillId="4" borderId="1" xfId="3" applyNumberFormat="1" applyFont="1" applyFill="1" applyBorder="1" applyAlignment="1">
      <alignment horizontal="center" vertical="center"/>
    </xf>
    <xf numFmtId="0" fontId="8" fillId="4" borderId="1" xfId="2" applyNumberFormat="1" applyFont="1" applyFill="1" applyBorder="1" applyAlignment="1">
      <alignment horizontal="center" vertical="center"/>
    </xf>
    <xf numFmtId="1" fontId="4" fillId="4" borderId="1" xfId="3" applyNumberFormat="1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3" applyNumberFormat="1" applyFont="1" applyFill="1" applyBorder="1" applyAlignment="1">
      <alignment horizontal="center" vertical="center"/>
    </xf>
    <xf numFmtId="0" fontId="6" fillId="0" borderId="1" xfId="2" applyNumberFormat="1" applyFont="1" applyFill="1" applyBorder="1" applyAlignment="1">
      <alignment horizontal="center" vertical="center"/>
    </xf>
    <xf numFmtId="3" fontId="6" fillId="0" borderId="1" xfId="6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right" vertical="top" wrapText="1"/>
    </xf>
    <xf numFmtId="0" fontId="2" fillId="6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1" fillId="2" borderId="1" xfId="0" applyFont="1" applyFill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 vertical="center"/>
    </xf>
    <xf numFmtId="164" fontId="22" fillId="0" borderId="1" xfId="3" applyNumberFormat="1" applyFont="1" applyFill="1" applyBorder="1" applyAlignment="1">
      <alignment horizontal="center" vertical="center" wrapText="1"/>
    </xf>
    <xf numFmtId="3" fontId="22" fillId="0" borderId="1" xfId="3" applyNumberFormat="1" applyFont="1" applyFill="1" applyBorder="1" applyAlignment="1">
      <alignment horizontal="center" vertical="center" wrapText="1"/>
    </xf>
    <xf numFmtId="0" fontId="23" fillId="0" borderId="6" xfId="0" applyFont="1" applyBorder="1" applyAlignment="1">
      <alignment horizontal="center" vertical="center"/>
    </xf>
    <xf numFmtId="0" fontId="2" fillId="0" borderId="1" xfId="0" applyFont="1" applyBorder="1"/>
    <xf numFmtId="0" fontId="0" fillId="0" borderId="1" xfId="0" applyBorder="1"/>
    <xf numFmtId="0" fontId="2" fillId="0" borderId="1" xfId="0" applyFont="1" applyFill="1" applyBorder="1"/>
    <xf numFmtId="0" fontId="0" fillId="0" borderId="19" xfId="0" applyBorder="1"/>
    <xf numFmtId="0" fontId="0" fillId="0" borderId="20" xfId="0" applyBorder="1"/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wrapText="1"/>
    </xf>
    <xf numFmtId="0" fontId="24" fillId="2" borderId="20" xfId="0" applyFont="1" applyFill="1" applyBorder="1" applyAlignment="1">
      <alignment wrapText="1"/>
    </xf>
    <xf numFmtId="2" fontId="25" fillId="2" borderId="1" xfId="0" applyNumberFormat="1" applyFont="1" applyFill="1" applyBorder="1"/>
    <xf numFmtId="2" fontId="0" fillId="0" borderId="1" xfId="0" applyNumberFormat="1" applyBorder="1"/>
    <xf numFmtId="2" fontId="6" fillId="0" borderId="1" xfId="3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9" fillId="0" borderId="0" xfId="7" applyFont="1"/>
    <xf numFmtId="0" fontId="29" fillId="0" borderId="0" xfId="7" applyFont="1" applyAlignment="1">
      <alignment horizontal="right"/>
    </xf>
    <xf numFmtId="0" fontId="29" fillId="0" borderId="24" xfId="7" applyFont="1" applyBorder="1"/>
    <xf numFmtId="0" fontId="31" fillId="0" borderId="0" xfId="7" applyFont="1"/>
    <xf numFmtId="0" fontId="29" fillId="0" borderId="24" xfId="7" applyFont="1" applyBorder="1" applyAlignment="1"/>
    <xf numFmtId="0" fontId="29" fillId="0" borderId="0" xfId="7" applyFont="1" applyAlignment="1">
      <alignment horizontal="center"/>
    </xf>
    <xf numFmtId="0" fontId="30" fillId="9" borderId="25" xfId="7" applyFont="1" applyFill="1" applyBorder="1"/>
    <xf numFmtId="0" fontId="30" fillId="9" borderId="25" xfId="7" applyFont="1" applyFill="1" applyBorder="1" applyAlignment="1">
      <alignment horizontal="center" vertical="center"/>
    </xf>
    <xf numFmtId="0" fontId="29" fillId="0" borderId="22" xfId="7" applyFont="1" applyBorder="1" applyAlignment="1">
      <alignment horizontal="center"/>
    </xf>
    <xf numFmtId="14" fontId="29" fillId="0" borderId="22" xfId="7" applyNumberFormat="1" applyFont="1" applyBorder="1" applyAlignment="1">
      <alignment horizontal="center"/>
    </xf>
    <xf numFmtId="0" fontId="29" fillId="0" borderId="24" xfId="7" applyFont="1" applyBorder="1" applyAlignment="1">
      <alignment horizontal="center"/>
    </xf>
    <xf numFmtId="0" fontId="31" fillId="0" borderId="25" xfId="7" applyFont="1" applyBorder="1" applyAlignment="1">
      <alignment horizontal="center" vertical="center"/>
    </xf>
    <xf numFmtId="0" fontId="4" fillId="0" borderId="10" xfId="3" applyNumberFormat="1" applyFont="1" applyFill="1" applyBorder="1" applyAlignment="1">
      <alignment horizontal="center" vertical="center"/>
    </xf>
    <xf numFmtId="0" fontId="4" fillId="0" borderId="9" xfId="3" applyNumberFormat="1" applyFont="1" applyFill="1" applyBorder="1" applyAlignment="1">
      <alignment horizontal="center" vertical="center"/>
    </xf>
    <xf numFmtId="0" fontId="4" fillId="0" borderId="13" xfId="3" applyNumberFormat="1" applyFont="1" applyFill="1" applyBorder="1" applyAlignment="1">
      <alignment horizontal="center" vertical="center"/>
    </xf>
    <xf numFmtId="0" fontId="4" fillId="0" borderId="11" xfId="3" applyNumberFormat="1" applyFont="1" applyFill="1" applyBorder="1" applyAlignment="1">
      <alignment horizontal="center" vertical="center"/>
    </xf>
    <xf numFmtId="0" fontId="4" fillId="0" borderId="0" xfId="3" applyNumberFormat="1" applyFont="1" applyFill="1" applyBorder="1" applyAlignment="1">
      <alignment horizontal="center" vertical="center"/>
    </xf>
    <xf numFmtId="0" fontId="4" fillId="0" borderId="15" xfId="3" applyNumberFormat="1" applyFont="1" applyFill="1" applyBorder="1" applyAlignment="1">
      <alignment horizontal="center" vertical="center"/>
    </xf>
    <xf numFmtId="0" fontId="4" fillId="0" borderId="7" xfId="3" applyNumberFormat="1" applyFont="1" applyFill="1" applyBorder="1" applyAlignment="1">
      <alignment horizontal="center" vertical="center"/>
    </xf>
    <xf numFmtId="0" fontId="4" fillId="0" borderId="8" xfId="3" applyNumberFormat="1" applyFont="1" applyFill="1" applyBorder="1" applyAlignment="1">
      <alignment horizontal="center" vertical="center"/>
    </xf>
    <xf numFmtId="0" fontId="4" fillId="0" borderId="14" xfId="3" applyNumberFormat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4" fillId="0" borderId="1" xfId="3" applyNumberFormat="1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" fontId="26" fillId="2" borderId="10" xfId="3" applyNumberFormat="1" applyFont="1" applyFill="1" applyBorder="1" applyAlignment="1">
      <alignment horizontal="center" vertical="center"/>
    </xf>
    <xf numFmtId="1" fontId="26" fillId="2" borderId="13" xfId="3" applyNumberFormat="1" applyFont="1" applyFill="1" applyBorder="1" applyAlignment="1">
      <alignment horizontal="center" vertical="center"/>
    </xf>
    <xf numFmtId="1" fontId="26" fillId="2" borderId="7" xfId="3" applyNumberFormat="1" applyFont="1" applyFill="1" applyBorder="1" applyAlignment="1">
      <alignment horizontal="center" vertical="center"/>
    </xf>
    <xf numFmtId="1" fontId="26" fillId="2" borderId="14" xfId="3" applyNumberFormat="1" applyFont="1" applyFill="1" applyBorder="1" applyAlignment="1">
      <alignment horizontal="center" vertical="center"/>
    </xf>
    <xf numFmtId="2" fontId="26" fillId="2" borderId="9" xfId="3" applyNumberFormat="1" applyFont="1" applyFill="1" applyBorder="1" applyAlignment="1">
      <alignment horizontal="center" vertical="center"/>
    </xf>
    <xf numFmtId="2" fontId="26" fillId="2" borderId="13" xfId="3" applyNumberFormat="1" applyFont="1" applyFill="1" applyBorder="1" applyAlignment="1">
      <alignment horizontal="center" vertical="center"/>
    </xf>
    <xf numFmtId="2" fontId="26" fillId="2" borderId="8" xfId="3" applyNumberFormat="1" applyFont="1" applyFill="1" applyBorder="1" applyAlignment="1">
      <alignment horizontal="center" vertical="center"/>
    </xf>
    <xf numFmtId="2" fontId="26" fillId="2" borderId="14" xfId="3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26" fillId="2" borderId="9" xfId="0" applyNumberFormat="1" applyFont="1" applyFill="1" applyBorder="1" applyAlignment="1">
      <alignment horizontal="center" vertical="center"/>
    </xf>
    <xf numFmtId="0" fontId="26" fillId="2" borderId="13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0" fontId="26" fillId="2" borderId="15" xfId="0" applyFont="1" applyFill="1" applyBorder="1" applyAlignment="1">
      <alignment horizontal="center" vertical="center"/>
    </xf>
    <xf numFmtId="0" fontId="26" fillId="2" borderId="8" xfId="0" applyFont="1" applyFill="1" applyBorder="1" applyAlignment="1">
      <alignment horizontal="center" vertical="center"/>
    </xf>
    <xf numFmtId="0" fontId="26" fillId="2" borderId="14" xfId="0" applyFont="1" applyFill="1" applyBorder="1" applyAlignment="1">
      <alignment horizontal="center" vertical="center"/>
    </xf>
    <xf numFmtId="0" fontId="14" fillId="4" borderId="4" xfId="3" applyNumberFormat="1" applyFont="1" applyFill="1" applyBorder="1" applyAlignment="1">
      <alignment horizontal="center" vertical="center"/>
    </xf>
    <xf numFmtId="0" fontId="14" fillId="4" borderId="5" xfId="3" applyNumberFormat="1" applyFont="1" applyFill="1" applyBorder="1" applyAlignment="1">
      <alignment horizontal="center" vertical="center"/>
    </xf>
    <xf numFmtId="0" fontId="14" fillId="4" borderId="6" xfId="3" applyNumberFormat="1" applyFont="1" applyFill="1" applyBorder="1" applyAlignment="1">
      <alignment horizontal="center" vertical="center"/>
    </xf>
    <xf numFmtId="2" fontId="19" fillId="2" borderId="11" xfId="0" applyNumberFormat="1" applyFont="1" applyFill="1" applyBorder="1" applyAlignment="1">
      <alignment horizontal="center" vertical="center"/>
    </xf>
    <xf numFmtId="0" fontId="23" fillId="4" borderId="4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9" fontId="7" fillId="0" borderId="9" xfId="2" applyNumberFormat="1" applyFont="1" applyFill="1" applyBorder="1" applyAlignment="1">
      <alignment horizontal="center" vertical="center"/>
    </xf>
    <xf numFmtId="9" fontId="7" fillId="0" borderId="0" xfId="2" applyNumberFormat="1" applyFont="1" applyFill="1" applyBorder="1" applyAlignment="1">
      <alignment horizontal="center" vertical="center"/>
    </xf>
    <xf numFmtId="9" fontId="7" fillId="0" borderId="8" xfId="2" applyNumberFormat="1" applyFont="1" applyFill="1" applyBorder="1" applyAlignment="1">
      <alignment horizontal="center" vertical="center"/>
    </xf>
    <xf numFmtId="0" fontId="26" fillId="2" borderId="13" xfId="3" applyNumberFormat="1" applyFont="1" applyFill="1" applyBorder="1" applyAlignment="1">
      <alignment horizontal="center" vertical="center"/>
    </xf>
    <xf numFmtId="0" fontId="26" fillId="2" borderId="0" xfId="3" applyNumberFormat="1" applyFont="1" applyFill="1" applyBorder="1" applyAlignment="1">
      <alignment horizontal="center" vertical="center"/>
    </xf>
    <xf numFmtId="0" fontId="26" fillId="2" borderId="15" xfId="3" applyNumberFormat="1" applyFont="1" applyFill="1" applyBorder="1" applyAlignment="1">
      <alignment horizontal="center" vertical="center"/>
    </xf>
    <xf numFmtId="0" fontId="26" fillId="2" borderId="8" xfId="3" applyNumberFormat="1" applyFont="1" applyFill="1" applyBorder="1" applyAlignment="1">
      <alignment horizontal="center" vertical="center"/>
    </xf>
    <xf numFmtId="0" fontId="26" fillId="2" borderId="14" xfId="3" applyNumberFormat="1" applyFont="1" applyFill="1" applyBorder="1" applyAlignment="1">
      <alignment horizontal="center" vertical="center"/>
    </xf>
    <xf numFmtId="0" fontId="26" fillId="2" borderId="9" xfId="3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9" fontId="13" fillId="0" borderId="1" xfId="0" applyNumberFormat="1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center"/>
    </xf>
    <xf numFmtId="0" fontId="11" fillId="0" borderId="0" xfId="0" applyFont="1" applyAlignment="1">
      <alignment horizontal="right" vertical="top" wrapText="1"/>
    </xf>
    <xf numFmtId="0" fontId="12" fillId="2" borderId="0" xfId="0" applyFont="1" applyFill="1" applyAlignment="1">
      <alignment horizontal="center" vertical="center"/>
    </xf>
    <xf numFmtId="0" fontId="18" fillId="2" borderId="1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17" fillId="0" borderId="9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 textRotation="90"/>
    </xf>
    <xf numFmtId="0" fontId="21" fillId="2" borderId="12" xfId="0" applyFont="1" applyFill="1" applyBorder="1" applyAlignment="1">
      <alignment horizontal="center" vertical="center" textRotation="90"/>
    </xf>
    <xf numFmtId="0" fontId="21" fillId="2" borderId="3" xfId="0" applyFont="1" applyFill="1" applyBorder="1" applyAlignment="1">
      <alignment horizontal="center" vertical="center" textRotation="90"/>
    </xf>
    <xf numFmtId="0" fontId="2" fillId="0" borderId="19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24" fillId="2" borderId="16" xfId="0" applyFont="1" applyFill="1" applyBorder="1" applyAlignment="1">
      <alignment horizontal="center" vertical="center" wrapText="1"/>
    </xf>
    <xf numFmtId="0" fontId="24" fillId="2" borderId="19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7" xfId="0" applyFont="1" applyFill="1" applyBorder="1" applyAlignment="1">
      <alignment horizontal="center" wrapText="1"/>
    </xf>
    <xf numFmtId="0" fontId="24" fillId="2" borderId="18" xfId="0" applyFont="1" applyFill="1" applyBorder="1" applyAlignment="1">
      <alignment horizontal="center" wrapText="1"/>
    </xf>
    <xf numFmtId="0" fontId="30" fillId="9" borderId="25" xfId="7" applyFont="1" applyFill="1" applyBorder="1" applyAlignment="1">
      <alignment horizontal="center" vertical="center"/>
    </xf>
    <xf numFmtId="0" fontId="33" fillId="0" borderId="0" xfId="7" applyFont="1" applyAlignment="1">
      <alignment horizontal="right"/>
    </xf>
    <xf numFmtId="0" fontId="27" fillId="0" borderId="0" xfId="7" applyFont="1" applyAlignment="1">
      <alignment horizontal="center" wrapText="1"/>
    </xf>
    <xf numFmtId="0" fontId="28" fillId="8" borderId="21" xfId="7" applyFont="1" applyFill="1" applyBorder="1" applyAlignment="1">
      <alignment horizontal="center" vertical="center"/>
    </xf>
    <xf numFmtId="0" fontId="28" fillId="8" borderId="22" xfId="7" applyFont="1" applyFill="1" applyBorder="1" applyAlignment="1">
      <alignment horizontal="center" vertical="center"/>
    </xf>
    <xf numFmtId="0" fontId="29" fillId="0" borderId="0" xfId="7" applyFont="1" applyAlignment="1">
      <alignment horizontal="center"/>
    </xf>
    <xf numFmtId="0" fontId="29" fillId="0" borderId="23" xfId="7" applyFont="1" applyBorder="1" applyAlignment="1">
      <alignment horizontal="right"/>
    </xf>
    <xf numFmtId="0" fontId="29" fillId="0" borderId="0" xfId="7" applyFont="1" applyAlignment="1">
      <alignment horizontal="left"/>
    </xf>
    <xf numFmtId="0" fontId="31" fillId="0" borderId="25" xfId="7" applyFont="1" applyBorder="1" applyAlignment="1">
      <alignment horizontal="center" vertical="center"/>
    </xf>
    <xf numFmtId="0" fontId="32" fillId="0" borderId="25" xfId="7" applyFont="1" applyBorder="1" applyAlignment="1">
      <alignment horizontal="center" vertical="center"/>
    </xf>
    <xf numFmtId="0" fontId="31" fillId="0" borderId="21" xfId="7" applyFont="1" applyBorder="1" applyAlignment="1">
      <alignment horizontal="center" vertical="center"/>
    </xf>
    <xf numFmtId="0" fontId="31" fillId="0" borderId="26" xfId="7" applyFont="1" applyBorder="1" applyAlignment="1">
      <alignment horizontal="center" vertical="center"/>
    </xf>
    <xf numFmtId="0" fontId="35" fillId="0" borderId="25" xfId="8" applyFont="1" applyBorder="1" applyAlignment="1">
      <alignment horizontal="center" vertical="center"/>
    </xf>
    <xf numFmtId="0" fontId="35" fillId="0" borderId="25" xfId="7" applyFont="1" applyBorder="1" applyAlignment="1">
      <alignment horizontal="center" vertical="center"/>
    </xf>
  </cellXfs>
  <cellStyles count="9">
    <cellStyle name="FONS" xfId="4"/>
    <cellStyle name="Hipervínculo" xfId="8" builtinId="8"/>
    <cellStyle name="Millares" xfId="2" builtinId="3"/>
    <cellStyle name="Millares 2" xfId="5"/>
    <cellStyle name="Normal" xfId="0" builtinId="0"/>
    <cellStyle name="Normal 2" xfId="1"/>
    <cellStyle name="Normal 3" xfId="7"/>
    <cellStyle name="Porcentaje" xfId="3" builtinId="5"/>
    <cellStyle name="Porcentaje 2" xfId="6"/>
  </cellStyles>
  <dxfs count="0"/>
  <tableStyles count="0" defaultTableStyle="TableStyleMedium2" defaultPivotStyle="PivotStyleLight16"/>
  <colors>
    <mruColors>
      <color rgb="FF950054"/>
      <color rgb="FFE98BD7"/>
      <color rgb="FF972958"/>
      <color rgb="FFD5007F"/>
      <color rgb="FFFF69C2"/>
      <color rgb="FFB8006E"/>
      <color rgb="FFFAE2F5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785282</xdr:colOff>
      <xdr:row>0</xdr:row>
      <xdr:rowOff>495300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375832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9"/>
  <sheetViews>
    <sheetView tabSelected="1" topLeftCell="A43" zoomScale="55" zoomScaleNormal="55" workbookViewId="0">
      <selection activeCell="Q57" sqref="Q57"/>
    </sheetView>
  </sheetViews>
  <sheetFormatPr baseColWidth="10" defaultColWidth="11.42578125" defaultRowHeight="30" customHeight="1" x14ac:dyDescent="0.2"/>
  <cols>
    <col min="1" max="1" width="8.85546875" style="1" customWidth="1"/>
    <col min="2" max="2" width="31.7109375" style="1" customWidth="1"/>
    <col min="3" max="3" width="31.5703125" style="1" customWidth="1"/>
    <col min="4" max="4" width="21.7109375" style="1" customWidth="1"/>
    <col min="5" max="5" width="13.42578125" style="1" bestFit="1" customWidth="1"/>
    <col min="6" max="6" width="10.28515625" style="1" bestFit="1" customWidth="1"/>
    <col min="7" max="7" width="13.85546875" style="1" customWidth="1"/>
    <col min="8" max="8" width="8.28515625" style="1" customWidth="1"/>
    <col min="9" max="20" width="7.7109375" style="1" customWidth="1"/>
    <col min="21" max="21" width="23.5703125" style="1" customWidth="1"/>
    <col min="22" max="16384" width="11.42578125" style="1"/>
  </cols>
  <sheetData>
    <row r="1" spans="1:21" ht="40.5" customHeight="1" x14ac:dyDescent="0.2">
      <c r="A1" s="152" t="s">
        <v>121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</row>
    <row r="2" spans="1:21" ht="5.25" customHeight="1" x14ac:dyDescent="0.2">
      <c r="A2" s="17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21" ht="30" customHeight="1" x14ac:dyDescent="0.2">
      <c r="A3" s="153" t="s">
        <v>31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1:21" ht="5.25" customHeight="1" x14ac:dyDescent="0.2"/>
    <row r="5" spans="1:21" ht="18" customHeight="1" x14ac:dyDescent="0.2">
      <c r="A5" s="168" t="s">
        <v>14</v>
      </c>
      <c r="B5" s="132" t="s">
        <v>108</v>
      </c>
      <c r="C5" s="133"/>
      <c r="D5" s="133"/>
      <c r="E5" s="133"/>
      <c r="F5" s="133"/>
      <c r="G5" s="134"/>
      <c r="H5" s="132" t="s">
        <v>0</v>
      </c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4"/>
      <c r="U5" s="154" t="s">
        <v>21</v>
      </c>
    </row>
    <row r="6" spans="1:21" ht="15.75" x14ac:dyDescent="0.2">
      <c r="A6" s="169"/>
      <c r="B6" s="132" t="s">
        <v>18</v>
      </c>
      <c r="C6" s="134"/>
      <c r="D6" s="132" t="s">
        <v>19</v>
      </c>
      <c r="E6" s="133"/>
      <c r="F6" s="133"/>
      <c r="G6" s="134"/>
      <c r="H6" s="155" t="s">
        <v>94</v>
      </c>
      <c r="I6" s="156"/>
      <c r="J6" s="156"/>
      <c r="K6" s="156"/>
      <c r="L6" s="156"/>
      <c r="M6" s="156"/>
      <c r="N6" s="156"/>
      <c r="O6" s="156"/>
      <c r="P6" s="157"/>
      <c r="Q6" s="158" t="s">
        <v>95</v>
      </c>
      <c r="R6" s="159"/>
      <c r="S6" s="159"/>
      <c r="T6" s="160"/>
      <c r="U6" s="154"/>
    </row>
    <row r="7" spans="1:21" s="2" customFormat="1" ht="15" customHeight="1" x14ac:dyDescent="0.2">
      <c r="A7" s="170"/>
      <c r="B7" s="4" t="s">
        <v>23</v>
      </c>
      <c r="C7" s="4" t="s">
        <v>15</v>
      </c>
      <c r="D7" s="4" t="s">
        <v>17</v>
      </c>
      <c r="E7" s="24" t="s">
        <v>16</v>
      </c>
      <c r="F7" s="24" t="s">
        <v>20</v>
      </c>
      <c r="G7" s="24" t="s">
        <v>22</v>
      </c>
      <c r="H7" s="4" t="s">
        <v>12</v>
      </c>
      <c r="I7" s="4" t="s">
        <v>1</v>
      </c>
      <c r="J7" s="4" t="s">
        <v>2</v>
      </c>
      <c r="K7" s="4" t="s">
        <v>3</v>
      </c>
      <c r="L7" s="4" t="s">
        <v>4</v>
      </c>
      <c r="M7" s="4" t="s">
        <v>5</v>
      </c>
      <c r="N7" s="4" t="s">
        <v>6</v>
      </c>
      <c r="O7" s="4" t="s">
        <v>7</v>
      </c>
      <c r="P7" s="4" t="s">
        <v>8</v>
      </c>
      <c r="Q7" s="4" t="s">
        <v>9</v>
      </c>
      <c r="R7" s="4" t="s">
        <v>10</v>
      </c>
      <c r="S7" s="4" t="s">
        <v>11</v>
      </c>
      <c r="T7" s="4" t="s">
        <v>12</v>
      </c>
      <c r="U7" s="154"/>
    </row>
    <row r="8" spans="1:21" s="2" customFormat="1" ht="15" x14ac:dyDescent="0.2">
      <c r="A8" s="81">
        <v>1</v>
      </c>
      <c r="B8" s="68" t="s">
        <v>90</v>
      </c>
      <c r="C8" s="141" t="s">
        <v>100</v>
      </c>
      <c r="D8" s="144" t="s">
        <v>101</v>
      </c>
      <c r="E8" s="109" t="s">
        <v>53</v>
      </c>
      <c r="F8" s="110"/>
      <c r="G8" s="111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108" t="e">
        <f>(((H8+I8+J8+K8+L8+M8+N8+O8+P8+Q8+R8+S8+T8)-(H9+I9+J9+K9+L9+M9+N9+O9+P9+Q9+R9+S9+T9))/(H8+I8+J8+K8+L8+M8+N8+O8+P8+Q8+R8+S8+T8))*100</f>
        <v>#DIV/0!</v>
      </c>
    </row>
    <row r="9" spans="1:21" s="2" customFormat="1" ht="15" x14ac:dyDescent="0.2">
      <c r="A9" s="139"/>
      <c r="B9" s="140"/>
      <c r="C9" s="142"/>
      <c r="D9" s="77"/>
      <c r="E9" s="113" t="s">
        <v>55</v>
      </c>
      <c r="F9" s="114"/>
      <c r="G9" s="115"/>
      <c r="H9" s="14">
        <f t="shared" ref="H9:T9" si="0">SUM(H10:H24)</f>
        <v>0</v>
      </c>
      <c r="I9" s="14">
        <f t="shared" si="0"/>
        <v>0</v>
      </c>
      <c r="J9" s="14">
        <f t="shared" si="0"/>
        <v>0</v>
      </c>
      <c r="K9" s="14">
        <f t="shared" si="0"/>
        <v>0</v>
      </c>
      <c r="L9" s="14">
        <f t="shared" si="0"/>
        <v>0</v>
      </c>
      <c r="M9" s="14">
        <f t="shared" si="0"/>
        <v>0</v>
      </c>
      <c r="N9" s="14">
        <f t="shared" si="0"/>
        <v>0</v>
      </c>
      <c r="O9" s="14">
        <f t="shared" si="0"/>
        <v>0</v>
      </c>
      <c r="P9" s="14">
        <f t="shared" si="0"/>
        <v>0</v>
      </c>
      <c r="Q9" s="14">
        <f t="shared" si="0"/>
        <v>0</v>
      </c>
      <c r="R9" s="14">
        <f t="shared" si="0"/>
        <v>0</v>
      </c>
      <c r="S9" s="14">
        <f t="shared" si="0"/>
        <v>0</v>
      </c>
      <c r="T9" s="14">
        <f t="shared" si="0"/>
        <v>0</v>
      </c>
      <c r="U9" s="108"/>
    </row>
    <row r="10" spans="1:21" s="2" customFormat="1" ht="15" x14ac:dyDescent="0.2">
      <c r="A10" s="139"/>
      <c r="B10" s="140"/>
      <c r="C10" s="142"/>
      <c r="D10" s="77"/>
      <c r="E10" s="93" t="s">
        <v>39</v>
      </c>
      <c r="F10" s="121">
        <v>0.9</v>
      </c>
      <c r="G10" s="28" t="s">
        <v>56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08"/>
    </row>
    <row r="11" spans="1:21" s="2" customFormat="1" ht="15" x14ac:dyDescent="0.2">
      <c r="A11" s="139"/>
      <c r="B11" s="140"/>
      <c r="C11" s="142"/>
      <c r="D11" s="77"/>
      <c r="E11" s="94"/>
      <c r="F11" s="122"/>
      <c r="G11" s="28" t="s">
        <v>57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08"/>
    </row>
    <row r="12" spans="1:21" s="2" customFormat="1" ht="15" x14ac:dyDescent="0.2">
      <c r="A12" s="139"/>
      <c r="B12" s="140"/>
      <c r="C12" s="142"/>
      <c r="D12" s="77"/>
      <c r="E12" s="94"/>
      <c r="F12" s="122"/>
      <c r="G12" s="28" t="s">
        <v>58</v>
      </c>
      <c r="H12" s="14">
        <v>0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08"/>
    </row>
    <row r="13" spans="1:21" s="2" customFormat="1" ht="15" x14ac:dyDescent="0.2">
      <c r="A13" s="139"/>
      <c r="B13" s="140"/>
      <c r="C13" s="142"/>
      <c r="D13" s="77"/>
      <c r="E13" s="94"/>
      <c r="F13" s="122"/>
      <c r="G13" s="28" t="s">
        <v>109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08"/>
    </row>
    <row r="14" spans="1:21" s="2" customFormat="1" ht="15" x14ac:dyDescent="0.2">
      <c r="A14" s="139"/>
      <c r="B14" s="140"/>
      <c r="C14" s="142"/>
      <c r="D14" s="77"/>
      <c r="E14" s="94"/>
      <c r="F14" s="122"/>
      <c r="G14" s="28" t="s">
        <v>110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08"/>
    </row>
    <row r="15" spans="1:21" s="2" customFormat="1" ht="15" x14ac:dyDescent="0.2">
      <c r="A15" s="139"/>
      <c r="B15" s="140"/>
      <c r="C15" s="142"/>
      <c r="D15" s="77"/>
      <c r="E15" s="94"/>
      <c r="F15" s="122"/>
      <c r="G15" s="28" t="s">
        <v>111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08"/>
    </row>
    <row r="16" spans="1:21" s="2" customFormat="1" ht="15" x14ac:dyDescent="0.2">
      <c r="A16" s="139"/>
      <c r="B16" s="140"/>
      <c r="C16" s="142"/>
      <c r="D16" s="77"/>
      <c r="E16" s="94"/>
      <c r="F16" s="122"/>
      <c r="G16" s="28" t="s">
        <v>112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08"/>
    </row>
    <row r="17" spans="1:21" s="2" customFormat="1" ht="15" x14ac:dyDescent="0.2">
      <c r="A17" s="139"/>
      <c r="B17" s="140"/>
      <c r="C17" s="142"/>
      <c r="D17" s="77"/>
      <c r="E17" s="94"/>
      <c r="F17" s="122"/>
      <c r="G17" s="28" t="s">
        <v>113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08"/>
    </row>
    <row r="18" spans="1:21" s="2" customFormat="1" ht="15" x14ac:dyDescent="0.2">
      <c r="A18" s="139"/>
      <c r="B18" s="140"/>
      <c r="C18" s="142"/>
      <c r="D18" s="77"/>
      <c r="E18" s="94"/>
      <c r="F18" s="122"/>
      <c r="G18" s="28" t="s">
        <v>114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08"/>
    </row>
    <row r="19" spans="1:21" s="2" customFormat="1" ht="15" x14ac:dyDescent="0.2">
      <c r="A19" s="139"/>
      <c r="B19" s="140"/>
      <c r="C19" s="142"/>
      <c r="D19" s="77"/>
      <c r="E19" s="94"/>
      <c r="F19" s="122"/>
      <c r="G19" s="28" t="s">
        <v>115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08"/>
    </row>
    <row r="20" spans="1:21" s="2" customFormat="1" ht="15" x14ac:dyDescent="0.2">
      <c r="A20" s="139"/>
      <c r="B20" s="140"/>
      <c r="C20" s="142"/>
      <c r="D20" s="77"/>
      <c r="E20" s="94"/>
      <c r="F20" s="122"/>
      <c r="G20" s="28" t="s">
        <v>116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08"/>
    </row>
    <row r="21" spans="1:21" s="2" customFormat="1" ht="15" x14ac:dyDescent="0.2">
      <c r="A21" s="139"/>
      <c r="B21" s="140"/>
      <c r="C21" s="142"/>
      <c r="D21" s="77"/>
      <c r="E21" s="94"/>
      <c r="F21" s="122"/>
      <c r="G21" s="28" t="s">
        <v>117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08"/>
    </row>
    <row r="22" spans="1:21" s="2" customFormat="1" ht="15" x14ac:dyDescent="0.2">
      <c r="A22" s="139"/>
      <c r="B22" s="140"/>
      <c r="C22" s="142"/>
      <c r="D22" s="77"/>
      <c r="E22" s="94"/>
      <c r="F22" s="122"/>
      <c r="G22" s="28" t="s">
        <v>118</v>
      </c>
      <c r="H22" s="14">
        <v>0</v>
      </c>
      <c r="I22" s="14">
        <v>0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08"/>
    </row>
    <row r="23" spans="1:21" s="2" customFormat="1" ht="15" x14ac:dyDescent="0.2">
      <c r="A23" s="139"/>
      <c r="B23" s="140"/>
      <c r="C23" s="142"/>
      <c r="D23" s="77"/>
      <c r="E23" s="94"/>
      <c r="F23" s="122"/>
      <c r="G23" s="28" t="s">
        <v>119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08"/>
    </row>
    <row r="24" spans="1:21" s="2" customFormat="1" ht="15" x14ac:dyDescent="0.2">
      <c r="A24" s="139"/>
      <c r="B24" s="140"/>
      <c r="C24" s="142"/>
      <c r="D24" s="77"/>
      <c r="E24" s="94"/>
      <c r="F24" s="122"/>
      <c r="G24" s="28" t="s">
        <v>120</v>
      </c>
      <c r="H24" s="14">
        <v>0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08"/>
    </row>
    <row r="25" spans="1:21" s="3" customFormat="1" ht="14.25" customHeight="1" x14ac:dyDescent="0.2">
      <c r="A25" s="62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11"/>
    </row>
    <row r="26" spans="1:21" s="3" customFormat="1" ht="15" x14ac:dyDescent="0.2">
      <c r="A26" s="66">
        <v>2</v>
      </c>
      <c r="B26" s="68" t="s">
        <v>33</v>
      </c>
      <c r="C26" s="161" t="s">
        <v>103</v>
      </c>
      <c r="D26" s="163" t="s">
        <v>102</v>
      </c>
      <c r="E26" s="105" t="s">
        <v>42</v>
      </c>
      <c r="F26" s="106"/>
      <c r="G26" s="107"/>
      <c r="H26" s="8"/>
      <c r="I26" s="8"/>
      <c r="J26" s="8"/>
      <c r="K26" s="8"/>
      <c r="L26" s="8"/>
      <c r="M26" s="8"/>
      <c r="N26" s="8"/>
      <c r="O26" s="8"/>
      <c r="P26" s="8"/>
      <c r="Q26" s="9"/>
      <c r="R26" s="9"/>
      <c r="S26" s="9"/>
      <c r="T26" s="9"/>
      <c r="U26" s="108" t="e">
        <f>((H27+I27+J27+K27+L27+M27+N27+O27+P27+Q27+R27+S27+T27)/(H26+I26+J26+K26+L26+M26+N26+O26+P26+Q26+R26+S26+T26))*100</f>
        <v>#DIV/0!</v>
      </c>
    </row>
    <row r="27" spans="1:21" s="3" customFormat="1" ht="33.75" x14ac:dyDescent="0.2">
      <c r="A27" s="167"/>
      <c r="B27" s="140"/>
      <c r="C27" s="162"/>
      <c r="D27" s="164"/>
      <c r="E27" s="6" t="s">
        <v>39</v>
      </c>
      <c r="F27" s="25">
        <v>0.98</v>
      </c>
      <c r="G27" s="26" t="s">
        <v>43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08"/>
    </row>
    <row r="28" spans="1:21" s="3" customFormat="1" ht="15.75" customHeight="1" x14ac:dyDescent="0.2">
      <c r="A28" s="167"/>
      <c r="B28" s="140"/>
      <c r="C28" s="165" t="s">
        <v>38</v>
      </c>
      <c r="D28" s="77" t="s">
        <v>104</v>
      </c>
      <c r="E28" s="105" t="s">
        <v>43</v>
      </c>
      <c r="F28" s="106"/>
      <c r="G28" s="107"/>
      <c r="H28" s="8"/>
      <c r="I28" s="8"/>
      <c r="J28" s="8"/>
      <c r="K28" s="8"/>
      <c r="L28" s="8"/>
      <c r="M28" s="8"/>
      <c r="N28" s="8"/>
      <c r="O28" s="8"/>
      <c r="P28" s="8"/>
      <c r="Q28" s="9"/>
      <c r="R28" s="9"/>
      <c r="S28" s="9"/>
      <c r="T28" s="9"/>
      <c r="U28" s="108" t="e">
        <f>((H29+I29+J29+K29+L29+M29+N29+O29+P29+Q29+R29+S29+T29)/(H28+I28+J28+K28+L28+M28+N28+O28+P28+Q28+R28+S28+T28))</f>
        <v>#DIV/0!</v>
      </c>
    </row>
    <row r="29" spans="1:21" s="3" customFormat="1" ht="33.75" x14ac:dyDescent="0.2">
      <c r="A29" s="67"/>
      <c r="B29" s="69"/>
      <c r="C29" s="166"/>
      <c r="D29" s="78"/>
      <c r="E29" s="6" t="s">
        <v>39</v>
      </c>
      <c r="F29" s="6" t="s">
        <v>59</v>
      </c>
      <c r="G29" s="26" t="s">
        <v>44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08"/>
    </row>
    <row r="30" spans="1:21" s="3" customFormat="1" ht="9" customHeight="1" x14ac:dyDescent="0.2">
      <c r="A30" s="12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</row>
    <row r="31" spans="1:21" s="3" customFormat="1" ht="15" customHeight="1" x14ac:dyDescent="0.2">
      <c r="A31" s="81">
        <v>3</v>
      </c>
      <c r="B31" s="68" t="s">
        <v>92</v>
      </c>
      <c r="C31" s="74" t="s">
        <v>69</v>
      </c>
      <c r="D31" s="144" t="s">
        <v>105</v>
      </c>
      <c r="E31" s="109" t="s">
        <v>71</v>
      </c>
      <c r="F31" s="110"/>
      <c r="G31" s="111"/>
      <c r="H31" s="8"/>
      <c r="I31" s="8"/>
      <c r="J31" s="8"/>
      <c r="K31" s="8"/>
      <c r="L31" s="8"/>
      <c r="M31" s="8"/>
      <c r="N31" s="8"/>
      <c r="O31" s="8"/>
      <c r="P31" s="8">
        <v>15</v>
      </c>
      <c r="Q31" s="9"/>
      <c r="R31" s="9"/>
      <c r="S31" s="9"/>
      <c r="T31" s="8">
        <v>15</v>
      </c>
      <c r="U31" s="108">
        <f>(P32/P31)*10</f>
        <v>0</v>
      </c>
    </row>
    <row r="32" spans="1:21" s="3" customFormat="1" ht="15" customHeight="1" x14ac:dyDescent="0.2">
      <c r="A32" s="139"/>
      <c r="B32" s="140"/>
      <c r="C32" s="75"/>
      <c r="D32" s="77"/>
      <c r="E32" s="113" t="s">
        <v>72</v>
      </c>
      <c r="F32" s="114"/>
      <c r="G32" s="115"/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39">
        <f>SUM(P33:P47)</f>
        <v>0</v>
      </c>
      <c r="Q32" s="14">
        <v>0</v>
      </c>
      <c r="R32" s="14">
        <v>0</v>
      </c>
      <c r="S32" s="14">
        <v>0</v>
      </c>
      <c r="T32" s="39">
        <f>SUM(T33:T47)</f>
        <v>0</v>
      </c>
      <c r="U32" s="108"/>
    </row>
    <row r="33" spans="1:21" s="3" customFormat="1" ht="16.899999999999999" customHeight="1" x14ac:dyDescent="0.2">
      <c r="A33" s="139"/>
      <c r="B33" s="140"/>
      <c r="C33" s="75"/>
      <c r="D33" s="77"/>
      <c r="E33" s="91" t="s">
        <v>39</v>
      </c>
      <c r="F33" s="91" t="s">
        <v>59</v>
      </c>
      <c r="G33" s="28" t="s">
        <v>56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39">
        <f>'RECLUTAMIENTO, CAPA Y EVAL'!K19</f>
        <v>0</v>
      </c>
      <c r="Q33" s="14">
        <v>0</v>
      </c>
      <c r="R33" s="14">
        <v>0</v>
      </c>
      <c r="S33" s="14">
        <v>0</v>
      </c>
      <c r="T33" s="39">
        <f>'RECLUTAMIENTO, CAPA Y EVAL'!O19</f>
        <v>0</v>
      </c>
      <c r="U33" s="108"/>
    </row>
    <row r="34" spans="1:21" s="3" customFormat="1" ht="16.899999999999999" customHeight="1" x14ac:dyDescent="0.2">
      <c r="A34" s="139"/>
      <c r="B34" s="140"/>
      <c r="C34" s="75"/>
      <c r="D34" s="77"/>
      <c r="E34" s="112"/>
      <c r="F34" s="112"/>
      <c r="G34" s="28" t="s">
        <v>57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39">
        <f>'RECLUTAMIENTO, CAPA Y EVAL'!K20</f>
        <v>0</v>
      </c>
      <c r="Q34" s="14">
        <v>0</v>
      </c>
      <c r="R34" s="14">
        <v>0</v>
      </c>
      <c r="S34" s="14">
        <v>0</v>
      </c>
      <c r="T34" s="39">
        <f>'RECLUTAMIENTO, CAPA Y EVAL'!O20</f>
        <v>0</v>
      </c>
      <c r="U34" s="108"/>
    </row>
    <row r="35" spans="1:21" s="3" customFormat="1" ht="16.899999999999999" customHeight="1" x14ac:dyDescent="0.2">
      <c r="A35" s="139"/>
      <c r="B35" s="140"/>
      <c r="C35" s="75"/>
      <c r="D35" s="77"/>
      <c r="E35" s="112"/>
      <c r="F35" s="112"/>
      <c r="G35" s="28" t="s">
        <v>58</v>
      </c>
      <c r="H35" s="14">
        <v>0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39">
        <f>'RECLUTAMIENTO, CAPA Y EVAL'!K21</f>
        <v>0</v>
      </c>
      <c r="Q35" s="14">
        <v>0</v>
      </c>
      <c r="R35" s="14">
        <v>0</v>
      </c>
      <c r="S35" s="14">
        <v>0</v>
      </c>
      <c r="T35" s="39">
        <f>'RECLUTAMIENTO, CAPA Y EVAL'!O21</f>
        <v>0</v>
      </c>
      <c r="U35" s="108"/>
    </row>
    <row r="36" spans="1:21" s="3" customFormat="1" ht="16.899999999999999" customHeight="1" x14ac:dyDescent="0.2">
      <c r="A36" s="139"/>
      <c r="B36" s="140"/>
      <c r="C36" s="75"/>
      <c r="D36" s="77"/>
      <c r="E36" s="112"/>
      <c r="F36" s="112"/>
      <c r="G36" s="28" t="s">
        <v>109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39">
        <f>'RECLUTAMIENTO, CAPA Y EVAL'!K22</f>
        <v>0</v>
      </c>
      <c r="Q36" s="14">
        <v>0</v>
      </c>
      <c r="R36" s="14">
        <v>0</v>
      </c>
      <c r="S36" s="14">
        <v>0</v>
      </c>
      <c r="T36" s="39">
        <f>'RECLUTAMIENTO, CAPA Y EVAL'!O22</f>
        <v>0</v>
      </c>
      <c r="U36" s="108"/>
    </row>
    <row r="37" spans="1:21" s="3" customFormat="1" ht="16.899999999999999" customHeight="1" x14ac:dyDescent="0.2">
      <c r="A37" s="139"/>
      <c r="B37" s="140"/>
      <c r="C37" s="75"/>
      <c r="D37" s="77"/>
      <c r="E37" s="112"/>
      <c r="F37" s="112"/>
      <c r="G37" s="28" t="s">
        <v>110</v>
      </c>
      <c r="H37" s="14">
        <v>0</v>
      </c>
      <c r="I37" s="14">
        <v>0</v>
      </c>
      <c r="J37" s="14">
        <v>0</v>
      </c>
      <c r="K37" s="14">
        <v>0</v>
      </c>
      <c r="L37" s="14">
        <v>0</v>
      </c>
      <c r="M37" s="14">
        <v>0</v>
      </c>
      <c r="N37" s="14">
        <v>0</v>
      </c>
      <c r="O37" s="14">
        <v>0</v>
      </c>
      <c r="P37" s="39">
        <f>'RECLUTAMIENTO, CAPA Y EVAL'!K23</f>
        <v>0</v>
      </c>
      <c r="Q37" s="14">
        <v>0</v>
      </c>
      <c r="R37" s="14">
        <v>0</v>
      </c>
      <c r="S37" s="14">
        <v>0</v>
      </c>
      <c r="T37" s="39">
        <f>'RECLUTAMIENTO, CAPA Y EVAL'!O23</f>
        <v>0</v>
      </c>
      <c r="U37" s="108"/>
    </row>
    <row r="38" spans="1:21" s="3" customFormat="1" ht="16.899999999999999" customHeight="1" x14ac:dyDescent="0.2">
      <c r="A38" s="139"/>
      <c r="B38" s="140"/>
      <c r="C38" s="75"/>
      <c r="D38" s="77"/>
      <c r="E38" s="112"/>
      <c r="F38" s="112"/>
      <c r="G38" s="28" t="s">
        <v>111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39">
        <f>'RECLUTAMIENTO, CAPA Y EVAL'!K24</f>
        <v>0</v>
      </c>
      <c r="Q38" s="14">
        <v>0</v>
      </c>
      <c r="R38" s="14">
        <v>0</v>
      </c>
      <c r="S38" s="14">
        <v>0</v>
      </c>
      <c r="T38" s="39">
        <f>'RECLUTAMIENTO, CAPA Y EVAL'!O24</f>
        <v>0</v>
      </c>
      <c r="U38" s="108"/>
    </row>
    <row r="39" spans="1:21" s="3" customFormat="1" ht="16.899999999999999" customHeight="1" x14ac:dyDescent="0.2">
      <c r="A39" s="139"/>
      <c r="B39" s="140"/>
      <c r="C39" s="75"/>
      <c r="D39" s="77"/>
      <c r="E39" s="112"/>
      <c r="F39" s="112"/>
      <c r="G39" s="28" t="s">
        <v>112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39">
        <f>'RECLUTAMIENTO, CAPA Y EVAL'!K25</f>
        <v>0</v>
      </c>
      <c r="Q39" s="14">
        <v>0</v>
      </c>
      <c r="R39" s="14">
        <v>0</v>
      </c>
      <c r="S39" s="14">
        <v>0</v>
      </c>
      <c r="T39" s="39">
        <f>'RECLUTAMIENTO, CAPA Y EVAL'!O25</f>
        <v>0</v>
      </c>
      <c r="U39" s="108"/>
    </row>
    <row r="40" spans="1:21" s="3" customFormat="1" ht="16.899999999999999" customHeight="1" x14ac:dyDescent="0.2">
      <c r="A40" s="139"/>
      <c r="B40" s="140"/>
      <c r="C40" s="75"/>
      <c r="D40" s="77"/>
      <c r="E40" s="112"/>
      <c r="F40" s="112"/>
      <c r="G40" s="28" t="s">
        <v>113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39">
        <f>'RECLUTAMIENTO, CAPA Y EVAL'!K26</f>
        <v>0</v>
      </c>
      <c r="Q40" s="14">
        <v>0</v>
      </c>
      <c r="R40" s="14">
        <v>0</v>
      </c>
      <c r="S40" s="14">
        <v>0</v>
      </c>
      <c r="T40" s="39">
        <f>'RECLUTAMIENTO, CAPA Y EVAL'!O26</f>
        <v>0</v>
      </c>
      <c r="U40" s="108"/>
    </row>
    <row r="41" spans="1:21" s="3" customFormat="1" ht="16.899999999999999" customHeight="1" x14ac:dyDescent="0.2">
      <c r="A41" s="139"/>
      <c r="B41" s="140"/>
      <c r="C41" s="75"/>
      <c r="D41" s="77"/>
      <c r="E41" s="112"/>
      <c r="F41" s="112"/>
      <c r="G41" s="28" t="s">
        <v>114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39">
        <f>'RECLUTAMIENTO, CAPA Y EVAL'!K27</f>
        <v>0</v>
      </c>
      <c r="Q41" s="14">
        <v>0</v>
      </c>
      <c r="R41" s="14">
        <v>0</v>
      </c>
      <c r="S41" s="14">
        <v>0</v>
      </c>
      <c r="T41" s="39">
        <f>'RECLUTAMIENTO, CAPA Y EVAL'!O27</f>
        <v>0</v>
      </c>
      <c r="U41" s="108"/>
    </row>
    <row r="42" spans="1:21" s="3" customFormat="1" ht="16.899999999999999" customHeight="1" x14ac:dyDescent="0.2">
      <c r="A42" s="139"/>
      <c r="B42" s="140"/>
      <c r="C42" s="75"/>
      <c r="D42" s="77"/>
      <c r="E42" s="112"/>
      <c r="F42" s="112"/>
      <c r="G42" s="28" t="s">
        <v>115</v>
      </c>
      <c r="H42" s="14">
        <v>0</v>
      </c>
      <c r="I42" s="14">
        <v>0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39">
        <f>'RECLUTAMIENTO, CAPA Y EVAL'!K28</f>
        <v>0</v>
      </c>
      <c r="Q42" s="14">
        <v>0</v>
      </c>
      <c r="R42" s="14">
        <v>0</v>
      </c>
      <c r="S42" s="14">
        <v>0</v>
      </c>
      <c r="T42" s="39">
        <f>'RECLUTAMIENTO, CAPA Y EVAL'!O28</f>
        <v>0</v>
      </c>
      <c r="U42" s="108"/>
    </row>
    <row r="43" spans="1:21" s="3" customFormat="1" ht="16.899999999999999" customHeight="1" x14ac:dyDescent="0.2">
      <c r="A43" s="139"/>
      <c r="B43" s="140"/>
      <c r="C43" s="75"/>
      <c r="D43" s="77"/>
      <c r="E43" s="112"/>
      <c r="F43" s="112"/>
      <c r="G43" s="28" t="s">
        <v>116</v>
      </c>
      <c r="H43" s="14">
        <v>0</v>
      </c>
      <c r="I43" s="14">
        <v>0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39">
        <f>'RECLUTAMIENTO, CAPA Y EVAL'!K29</f>
        <v>0</v>
      </c>
      <c r="Q43" s="14">
        <v>0</v>
      </c>
      <c r="R43" s="14">
        <v>0</v>
      </c>
      <c r="S43" s="14">
        <v>0</v>
      </c>
      <c r="T43" s="39">
        <f>'RECLUTAMIENTO, CAPA Y EVAL'!O29</f>
        <v>0</v>
      </c>
      <c r="U43" s="108"/>
    </row>
    <row r="44" spans="1:21" s="3" customFormat="1" ht="16.899999999999999" customHeight="1" x14ac:dyDescent="0.2">
      <c r="A44" s="139"/>
      <c r="B44" s="140"/>
      <c r="C44" s="75"/>
      <c r="D44" s="77"/>
      <c r="E44" s="112"/>
      <c r="F44" s="112"/>
      <c r="G44" s="28" t="s">
        <v>117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39">
        <f>'RECLUTAMIENTO, CAPA Y EVAL'!K30</f>
        <v>0</v>
      </c>
      <c r="Q44" s="14">
        <v>0</v>
      </c>
      <c r="R44" s="14">
        <v>0</v>
      </c>
      <c r="S44" s="14">
        <v>0</v>
      </c>
      <c r="T44" s="39">
        <f>'RECLUTAMIENTO, CAPA Y EVAL'!O30</f>
        <v>0</v>
      </c>
      <c r="U44" s="108"/>
    </row>
    <row r="45" spans="1:21" s="3" customFormat="1" ht="16.899999999999999" customHeight="1" x14ac:dyDescent="0.2">
      <c r="A45" s="139"/>
      <c r="B45" s="140"/>
      <c r="C45" s="75"/>
      <c r="D45" s="77"/>
      <c r="E45" s="112"/>
      <c r="F45" s="112"/>
      <c r="G45" s="28" t="s">
        <v>118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39">
        <f>'RECLUTAMIENTO, CAPA Y EVAL'!K31</f>
        <v>0</v>
      </c>
      <c r="Q45" s="14">
        <v>0</v>
      </c>
      <c r="R45" s="14">
        <v>0</v>
      </c>
      <c r="S45" s="14">
        <v>0</v>
      </c>
      <c r="T45" s="39">
        <f>'RECLUTAMIENTO, CAPA Y EVAL'!O31</f>
        <v>0</v>
      </c>
      <c r="U45" s="108"/>
    </row>
    <row r="46" spans="1:21" s="3" customFormat="1" ht="15" customHeight="1" x14ac:dyDescent="0.2">
      <c r="A46" s="139"/>
      <c r="B46" s="140"/>
      <c r="C46" s="75"/>
      <c r="D46" s="77"/>
      <c r="E46" s="112"/>
      <c r="F46" s="112"/>
      <c r="G46" s="28" t="s">
        <v>119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39">
        <f>'RECLUTAMIENTO, CAPA Y EVAL'!K31</f>
        <v>0</v>
      </c>
      <c r="Q46" s="14">
        <v>0</v>
      </c>
      <c r="R46" s="14">
        <v>0</v>
      </c>
      <c r="S46" s="14">
        <v>0</v>
      </c>
      <c r="T46" s="39">
        <f>'RECLUTAMIENTO, CAPA Y EVAL'!O31</f>
        <v>0</v>
      </c>
      <c r="U46" s="108"/>
    </row>
    <row r="47" spans="1:21" s="3" customFormat="1" ht="15" customHeight="1" x14ac:dyDescent="0.2">
      <c r="A47" s="139"/>
      <c r="B47" s="140"/>
      <c r="C47" s="75"/>
      <c r="D47" s="77"/>
      <c r="E47" s="112"/>
      <c r="F47" s="112"/>
      <c r="G47" s="28" t="s">
        <v>120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39">
        <f>'RECLUTAMIENTO, CAPA Y EVAL'!K61</f>
        <v>0</v>
      </c>
      <c r="Q47" s="14">
        <v>0</v>
      </c>
      <c r="R47" s="14">
        <v>0</v>
      </c>
      <c r="S47" s="14">
        <v>0</v>
      </c>
      <c r="T47" s="39">
        <f>'RECLUTAMIENTO, CAPA Y EVAL'!O32</f>
        <v>0</v>
      </c>
      <c r="U47" s="108"/>
    </row>
    <row r="48" spans="1:21" s="3" customFormat="1" ht="9" customHeight="1" x14ac:dyDescent="0.2">
      <c r="A48" s="62"/>
      <c r="B48" s="63"/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  <c r="N48" s="63"/>
      <c r="O48" s="63"/>
      <c r="P48" s="63"/>
      <c r="Q48" s="63"/>
      <c r="R48" s="63"/>
      <c r="S48" s="63"/>
      <c r="T48" s="63"/>
    </row>
    <row r="49" spans="1:21" s="3" customFormat="1" ht="12.75" x14ac:dyDescent="0.2">
      <c r="A49" s="66">
        <v>4</v>
      </c>
      <c r="B49" s="68" t="s">
        <v>35</v>
      </c>
      <c r="C49" s="70" t="s">
        <v>45</v>
      </c>
      <c r="D49" s="72" t="s">
        <v>106</v>
      </c>
      <c r="E49" s="109" t="s">
        <v>48</v>
      </c>
      <c r="F49" s="110"/>
      <c r="G49" s="111"/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8" t="e">
        <f>((H50+I50+J50+K50+L50+M50+N50+O50+P50+Q50+R50+S50+T50)/(H49+I49+J49+K49+L49+M49+N49+O49+P49+Q49+R49+S49+T49))*100</f>
        <v>#DIV/0!</v>
      </c>
    </row>
    <row r="50" spans="1:21" s="3" customFormat="1" ht="36" customHeight="1" x14ac:dyDescent="0.2">
      <c r="A50" s="67"/>
      <c r="B50" s="69"/>
      <c r="C50" s="71"/>
      <c r="D50" s="73"/>
      <c r="E50" s="6" t="s">
        <v>46</v>
      </c>
      <c r="F50" s="7">
        <v>1</v>
      </c>
      <c r="G50" s="27" t="s">
        <v>51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08"/>
    </row>
    <row r="51" spans="1:21" s="3" customFormat="1" ht="9" customHeight="1" x14ac:dyDescent="0.2">
      <c r="A51" s="62"/>
      <c r="B51" s="63"/>
      <c r="C51" s="63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63"/>
      <c r="R51" s="63"/>
      <c r="S51" s="63"/>
      <c r="T51" s="63"/>
    </row>
    <row r="52" spans="1:21" s="3" customFormat="1" ht="15" customHeight="1" x14ac:dyDescent="0.2">
      <c r="A52" s="81">
        <v>5</v>
      </c>
      <c r="B52" s="68" t="s">
        <v>91</v>
      </c>
      <c r="C52" s="70" t="s">
        <v>74</v>
      </c>
      <c r="D52" s="72" t="s">
        <v>107</v>
      </c>
      <c r="E52" s="109" t="s">
        <v>50</v>
      </c>
      <c r="F52" s="110"/>
      <c r="G52" s="111"/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8" t="e">
        <f>((H53+I53+J53+K53+L53+M53+N53+O53+P53+Q53+R53+S53+T53)/(H52+I52+J52+K52+L52+M52+N52+O52+P52+Q52+R52+S52+T52))*100</f>
        <v>#DIV/0!</v>
      </c>
    </row>
    <row r="53" spans="1:21" s="3" customFormat="1" ht="36" customHeight="1" x14ac:dyDescent="0.2">
      <c r="A53" s="82"/>
      <c r="B53" s="69"/>
      <c r="C53" s="71"/>
      <c r="D53" s="73"/>
      <c r="E53" s="6" t="s">
        <v>93</v>
      </c>
      <c r="F53" s="7">
        <v>1</v>
      </c>
      <c r="G53" s="27" t="s">
        <v>51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08"/>
    </row>
    <row r="54" spans="1:21" ht="30" customHeight="1" x14ac:dyDescent="0.2">
      <c r="A54" s="1" t="s">
        <v>26</v>
      </c>
      <c r="H54" s="151" t="s">
        <v>75</v>
      </c>
      <c r="I54" s="151"/>
      <c r="J54" s="151"/>
      <c r="K54" s="151"/>
    </row>
    <row r="55" spans="1:21" ht="30" customHeight="1" x14ac:dyDescent="0.2">
      <c r="H55" s="18"/>
      <c r="I55" s="19" t="s">
        <v>36</v>
      </c>
      <c r="J55" s="19"/>
    </row>
    <row r="56" spans="1:21" ht="30" customHeight="1" x14ac:dyDescent="0.2">
      <c r="H56" s="20"/>
      <c r="I56" s="19" t="s">
        <v>25</v>
      </c>
      <c r="J56" s="19"/>
    </row>
    <row r="57" spans="1:21" ht="30" customHeight="1" x14ac:dyDescent="0.2">
      <c r="H57" s="21"/>
      <c r="I57" s="19" t="s">
        <v>24</v>
      </c>
      <c r="J57" s="19"/>
    </row>
    <row r="58" spans="1:21" ht="30.75" customHeight="1" x14ac:dyDescent="0.2">
      <c r="H58" s="40"/>
      <c r="I58" s="19"/>
      <c r="J58" s="19"/>
    </row>
    <row r="59" spans="1:21" ht="23.25" customHeight="1" x14ac:dyDescent="0.2"/>
    <row r="60" spans="1:21" ht="15.75" x14ac:dyDescent="0.2">
      <c r="A60" s="132" t="s">
        <v>108</v>
      </c>
      <c r="B60" s="133"/>
      <c r="C60" s="133"/>
      <c r="D60" s="133"/>
      <c r="E60" s="133"/>
      <c r="F60" s="133"/>
      <c r="G60" s="133"/>
      <c r="H60" s="134"/>
      <c r="I60" s="145" t="s">
        <v>28</v>
      </c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7"/>
    </row>
    <row r="61" spans="1:21" ht="15.75" x14ac:dyDescent="0.2">
      <c r="A61" s="132" t="s">
        <v>18</v>
      </c>
      <c r="B61" s="133"/>
      <c r="C61" s="134"/>
      <c r="D61" s="132" t="s">
        <v>19</v>
      </c>
      <c r="E61" s="133"/>
      <c r="F61" s="133"/>
      <c r="G61" s="133"/>
      <c r="H61" s="134"/>
      <c r="I61" s="148"/>
      <c r="J61" s="149"/>
      <c r="K61" s="149"/>
      <c r="L61" s="149"/>
      <c r="M61" s="149"/>
      <c r="N61" s="149"/>
      <c r="O61" s="149"/>
      <c r="P61" s="149"/>
      <c r="Q61" s="149"/>
      <c r="R61" s="149"/>
      <c r="S61" s="149"/>
      <c r="T61" s="149"/>
      <c r="U61" s="150"/>
    </row>
    <row r="62" spans="1:21" x14ac:dyDescent="0.25">
      <c r="A62" s="4" t="s">
        <v>14</v>
      </c>
      <c r="B62" s="4" t="s">
        <v>13</v>
      </c>
      <c r="C62" s="4" t="s">
        <v>15</v>
      </c>
      <c r="D62" s="4" t="s">
        <v>17</v>
      </c>
      <c r="E62" s="4" t="s">
        <v>16</v>
      </c>
      <c r="F62" s="4" t="s">
        <v>20</v>
      </c>
      <c r="G62" s="119" t="s">
        <v>27</v>
      </c>
      <c r="H62" s="120"/>
      <c r="I62" s="116" t="s">
        <v>29</v>
      </c>
      <c r="J62" s="117"/>
      <c r="K62" s="117"/>
      <c r="L62" s="117"/>
      <c r="M62" s="117"/>
      <c r="N62" s="117"/>
      <c r="O62" s="117"/>
      <c r="P62" s="117"/>
      <c r="Q62" s="117"/>
      <c r="R62" s="117"/>
      <c r="S62" s="117"/>
      <c r="T62" s="118"/>
      <c r="U62" s="22" t="s">
        <v>30</v>
      </c>
    </row>
    <row r="63" spans="1:21" s="2" customFormat="1" ht="15" customHeight="1" x14ac:dyDescent="0.2">
      <c r="A63" s="81">
        <v>1</v>
      </c>
      <c r="B63" s="68" t="s">
        <v>32</v>
      </c>
      <c r="C63" s="141" t="s">
        <v>52</v>
      </c>
      <c r="D63" s="144" t="s">
        <v>54</v>
      </c>
      <c r="E63" s="93" t="s">
        <v>39</v>
      </c>
      <c r="F63" s="121">
        <v>0.9</v>
      </c>
      <c r="G63" s="87" t="e">
        <f>U8</f>
        <v>#DIV/0!</v>
      </c>
      <c r="H63" s="124"/>
      <c r="I63" s="53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5"/>
      <c r="U63" s="79"/>
    </row>
    <row r="64" spans="1:21" s="2" customFormat="1" ht="15" customHeight="1" x14ac:dyDescent="0.2">
      <c r="A64" s="139"/>
      <c r="B64" s="140"/>
      <c r="C64" s="142"/>
      <c r="D64" s="77"/>
      <c r="E64" s="94"/>
      <c r="F64" s="122"/>
      <c r="G64" s="125"/>
      <c r="H64" s="126"/>
      <c r="I64" s="56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8"/>
      <c r="U64" s="79"/>
    </row>
    <row r="65" spans="1:21" s="2" customFormat="1" ht="15" customHeight="1" x14ac:dyDescent="0.2">
      <c r="A65" s="139"/>
      <c r="B65" s="140"/>
      <c r="C65" s="142"/>
      <c r="D65" s="77"/>
      <c r="E65" s="94"/>
      <c r="F65" s="122"/>
      <c r="G65" s="125"/>
      <c r="H65" s="126"/>
      <c r="I65" s="56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8"/>
      <c r="U65" s="79"/>
    </row>
    <row r="66" spans="1:21" s="2" customFormat="1" ht="15" customHeight="1" x14ac:dyDescent="0.2">
      <c r="A66" s="139"/>
      <c r="B66" s="140"/>
      <c r="C66" s="142"/>
      <c r="D66" s="77"/>
      <c r="E66" s="94"/>
      <c r="F66" s="122"/>
      <c r="G66" s="125"/>
      <c r="H66" s="126"/>
      <c r="I66" s="56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8"/>
      <c r="U66" s="79"/>
    </row>
    <row r="67" spans="1:21" s="2" customFormat="1" ht="15" customHeight="1" x14ac:dyDescent="0.2">
      <c r="A67" s="139"/>
      <c r="B67" s="140"/>
      <c r="C67" s="142"/>
      <c r="D67" s="77"/>
      <c r="E67" s="94"/>
      <c r="F67" s="122"/>
      <c r="G67" s="125"/>
      <c r="H67" s="126"/>
      <c r="I67" s="56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8"/>
      <c r="U67" s="79"/>
    </row>
    <row r="68" spans="1:21" s="2" customFormat="1" ht="15" customHeight="1" x14ac:dyDescent="0.2">
      <c r="A68" s="139"/>
      <c r="B68" s="140"/>
      <c r="C68" s="142"/>
      <c r="D68" s="77"/>
      <c r="E68" s="94"/>
      <c r="F68" s="122"/>
      <c r="G68" s="125"/>
      <c r="H68" s="126"/>
      <c r="I68" s="56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8"/>
      <c r="U68" s="79"/>
    </row>
    <row r="69" spans="1:21" s="3" customFormat="1" ht="15" customHeight="1" x14ac:dyDescent="0.2">
      <c r="A69" s="82"/>
      <c r="B69" s="69"/>
      <c r="C69" s="143"/>
      <c r="D69" s="78"/>
      <c r="E69" s="95"/>
      <c r="F69" s="123"/>
      <c r="G69" s="127"/>
      <c r="H69" s="128"/>
      <c r="I69" s="59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1"/>
      <c r="U69" s="79"/>
    </row>
    <row r="70" spans="1:21" s="3" customFormat="1" ht="14.25" customHeight="1" x14ac:dyDescent="0.2">
      <c r="A70" s="62"/>
      <c r="B70" s="63"/>
      <c r="C70" s="63"/>
      <c r="D70" s="63"/>
      <c r="E70" s="63"/>
      <c r="F70" s="63"/>
      <c r="G70" s="63"/>
      <c r="H70" s="63"/>
      <c r="I70" s="63"/>
      <c r="J70" s="63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11"/>
    </row>
    <row r="71" spans="1:21" s="3" customFormat="1" ht="12.75" customHeight="1" x14ac:dyDescent="0.2">
      <c r="A71" s="137">
        <v>2</v>
      </c>
      <c r="B71" s="138" t="s">
        <v>33</v>
      </c>
      <c r="C71" s="135" t="s">
        <v>37</v>
      </c>
      <c r="D71" s="65" t="s">
        <v>40</v>
      </c>
      <c r="E71" s="130" t="s">
        <v>39</v>
      </c>
      <c r="F71" s="131">
        <v>0.98</v>
      </c>
      <c r="G71" s="87" t="e">
        <f>U26</f>
        <v>#DIV/0!</v>
      </c>
      <c r="H71" s="124"/>
      <c r="I71" s="80"/>
      <c r="J71" s="80"/>
      <c r="K71" s="80"/>
      <c r="L71" s="80"/>
      <c r="M71" s="80"/>
      <c r="N71" s="80"/>
      <c r="O71" s="80"/>
      <c r="P71" s="80"/>
      <c r="Q71" s="80"/>
      <c r="R71" s="80"/>
      <c r="S71" s="80"/>
      <c r="T71" s="80"/>
      <c r="U71" s="65"/>
    </row>
    <row r="72" spans="1:21" s="3" customFormat="1" ht="24.75" customHeight="1" x14ac:dyDescent="0.2">
      <c r="A72" s="137"/>
      <c r="B72" s="138"/>
      <c r="C72" s="135"/>
      <c r="D72" s="65"/>
      <c r="E72" s="130"/>
      <c r="F72" s="131"/>
      <c r="G72" s="127"/>
      <c r="H72" s="128"/>
      <c r="I72" s="80"/>
      <c r="J72" s="80"/>
      <c r="K72" s="80"/>
      <c r="L72" s="80"/>
      <c r="M72" s="80"/>
      <c r="N72" s="80"/>
      <c r="O72" s="80"/>
      <c r="P72" s="80"/>
      <c r="Q72" s="80"/>
      <c r="R72" s="80"/>
      <c r="S72" s="80"/>
      <c r="T72" s="80"/>
      <c r="U72" s="65"/>
    </row>
    <row r="73" spans="1:21" s="3" customFormat="1" ht="15.75" customHeight="1" x14ac:dyDescent="0.2">
      <c r="A73" s="137"/>
      <c r="B73" s="138"/>
      <c r="C73" s="135" t="s">
        <v>38</v>
      </c>
      <c r="D73" s="65" t="s">
        <v>41</v>
      </c>
      <c r="E73" s="130" t="s">
        <v>39</v>
      </c>
      <c r="F73" s="130" t="s">
        <v>59</v>
      </c>
      <c r="G73" s="87" t="e">
        <f>U28</f>
        <v>#DIV/0!</v>
      </c>
      <c r="H73" s="129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65"/>
    </row>
    <row r="74" spans="1:21" s="3" customFormat="1" ht="22.5" customHeight="1" x14ac:dyDescent="0.2">
      <c r="A74" s="137"/>
      <c r="B74" s="138"/>
      <c r="C74" s="135"/>
      <c r="D74" s="65"/>
      <c r="E74" s="130"/>
      <c r="F74" s="130"/>
      <c r="G74" s="127"/>
      <c r="H74" s="127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65"/>
    </row>
    <row r="75" spans="1:21" s="3" customFormat="1" ht="9" customHeight="1" x14ac:dyDescent="0.2">
      <c r="A75" s="12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</row>
    <row r="76" spans="1:21" s="3" customFormat="1" ht="15" customHeight="1" x14ac:dyDescent="0.2">
      <c r="A76" s="81">
        <v>3</v>
      </c>
      <c r="B76" s="68" t="s">
        <v>34</v>
      </c>
      <c r="C76" s="74" t="s">
        <v>69</v>
      </c>
      <c r="D76" s="77" t="s">
        <v>73</v>
      </c>
      <c r="E76" s="93" t="s">
        <v>70</v>
      </c>
      <c r="F76" s="96" t="s">
        <v>59</v>
      </c>
      <c r="G76" s="99">
        <f>U31</f>
        <v>0</v>
      </c>
      <c r="H76" s="100"/>
      <c r="I76" s="80"/>
      <c r="J76" s="80"/>
      <c r="K76" s="80"/>
      <c r="L76" s="80"/>
      <c r="M76" s="80"/>
      <c r="N76" s="80">
        <v>5</v>
      </c>
      <c r="O76" s="80"/>
      <c r="P76" s="80"/>
      <c r="Q76" s="80"/>
      <c r="R76" s="80"/>
      <c r="S76" s="80"/>
      <c r="T76" s="80"/>
      <c r="U76" s="79"/>
    </row>
    <row r="77" spans="1:21" s="3" customFormat="1" ht="15" customHeight="1" x14ac:dyDescent="0.2">
      <c r="A77" s="139"/>
      <c r="B77" s="140"/>
      <c r="C77" s="75"/>
      <c r="D77" s="77"/>
      <c r="E77" s="94"/>
      <c r="F77" s="97"/>
      <c r="G77" s="101"/>
      <c r="H77" s="102"/>
      <c r="I77" s="80"/>
      <c r="J77" s="80"/>
      <c r="K77" s="80"/>
      <c r="L77" s="80"/>
      <c r="M77" s="80"/>
      <c r="N77" s="80" t="e">
        <f>SUM(N78:N82)</f>
        <v>#REF!</v>
      </c>
      <c r="O77" s="80"/>
      <c r="P77" s="80"/>
      <c r="Q77" s="80"/>
      <c r="R77" s="80"/>
      <c r="S77" s="80"/>
      <c r="T77" s="80"/>
      <c r="U77" s="79"/>
    </row>
    <row r="78" spans="1:21" s="3" customFormat="1" ht="15" customHeight="1" x14ac:dyDescent="0.2">
      <c r="A78" s="139"/>
      <c r="B78" s="140"/>
      <c r="C78" s="75"/>
      <c r="D78" s="77"/>
      <c r="E78" s="94"/>
      <c r="F78" s="97"/>
      <c r="G78" s="101"/>
      <c r="H78" s="102"/>
      <c r="I78" s="80"/>
      <c r="J78" s="80"/>
      <c r="K78" s="80"/>
      <c r="L78" s="80"/>
      <c r="M78" s="80"/>
      <c r="N78" s="80">
        <f>'RECLUTAMIENTO, CAPA Y EVAL'!I57</f>
        <v>0</v>
      </c>
      <c r="O78" s="80"/>
      <c r="P78" s="80"/>
      <c r="Q78" s="80"/>
      <c r="R78" s="80"/>
      <c r="S78" s="80"/>
      <c r="T78" s="80"/>
      <c r="U78" s="79"/>
    </row>
    <row r="79" spans="1:21" s="3" customFormat="1" ht="15" customHeight="1" x14ac:dyDescent="0.2">
      <c r="A79" s="139"/>
      <c r="B79" s="140"/>
      <c r="C79" s="75"/>
      <c r="D79" s="77"/>
      <c r="E79" s="94"/>
      <c r="F79" s="97"/>
      <c r="G79" s="101"/>
      <c r="H79" s="102"/>
      <c r="I79" s="80"/>
      <c r="J79" s="80"/>
      <c r="K79" s="80"/>
      <c r="L79" s="80"/>
      <c r="M79" s="80"/>
      <c r="N79" s="80" t="e">
        <f>'RECLUTAMIENTO, CAPA Y EVAL'!#REF!</f>
        <v>#REF!</v>
      </c>
      <c r="O79" s="80"/>
      <c r="P79" s="80"/>
      <c r="Q79" s="80"/>
      <c r="R79" s="80"/>
      <c r="S79" s="80"/>
      <c r="T79" s="80"/>
      <c r="U79" s="79"/>
    </row>
    <row r="80" spans="1:21" s="3" customFormat="1" ht="15" customHeight="1" x14ac:dyDescent="0.2">
      <c r="A80" s="139"/>
      <c r="B80" s="140"/>
      <c r="C80" s="75"/>
      <c r="D80" s="77"/>
      <c r="E80" s="94"/>
      <c r="F80" s="97"/>
      <c r="G80" s="101"/>
      <c r="H80" s="102"/>
      <c r="I80" s="80"/>
      <c r="J80" s="80"/>
      <c r="K80" s="80"/>
      <c r="L80" s="80"/>
      <c r="M80" s="80"/>
      <c r="N80" s="80" t="e">
        <f>'RECLUTAMIENTO, CAPA Y EVAL'!#REF!</f>
        <v>#REF!</v>
      </c>
      <c r="O80" s="80"/>
      <c r="P80" s="80"/>
      <c r="Q80" s="80"/>
      <c r="R80" s="80"/>
      <c r="S80" s="80"/>
      <c r="T80" s="80"/>
      <c r="U80" s="79"/>
    </row>
    <row r="81" spans="1:21" s="3" customFormat="1" ht="12.75" customHeight="1" x14ac:dyDescent="0.2">
      <c r="A81" s="139"/>
      <c r="B81" s="140"/>
      <c r="C81" s="75"/>
      <c r="D81" s="77"/>
      <c r="E81" s="94"/>
      <c r="F81" s="97"/>
      <c r="G81" s="101"/>
      <c r="H81" s="102"/>
      <c r="I81" s="80"/>
      <c r="J81" s="80"/>
      <c r="K81" s="80"/>
      <c r="L81" s="80"/>
      <c r="M81" s="80"/>
      <c r="N81" s="80" t="e">
        <f>'RECLUTAMIENTO, CAPA Y EVAL'!I65</f>
        <v>#DIV/0!</v>
      </c>
      <c r="O81" s="80"/>
      <c r="P81" s="80"/>
      <c r="Q81" s="80"/>
      <c r="R81" s="80"/>
      <c r="S81" s="80"/>
      <c r="T81" s="80"/>
      <c r="U81" s="79"/>
    </row>
    <row r="82" spans="1:21" s="3" customFormat="1" ht="12.75" customHeight="1" x14ac:dyDescent="0.2">
      <c r="A82" s="82"/>
      <c r="B82" s="69"/>
      <c r="C82" s="76"/>
      <c r="D82" s="78"/>
      <c r="E82" s="95"/>
      <c r="F82" s="98"/>
      <c r="G82" s="103"/>
      <c r="H82" s="104"/>
      <c r="I82" s="80"/>
      <c r="J82" s="80"/>
      <c r="K82" s="80"/>
      <c r="L82" s="80"/>
      <c r="M82" s="80"/>
      <c r="N82" s="80">
        <f>'RECLUTAMIENTO, CAPA Y EVAL'!I87</f>
        <v>0</v>
      </c>
      <c r="O82" s="80"/>
      <c r="P82" s="80"/>
      <c r="Q82" s="80"/>
      <c r="R82" s="80"/>
      <c r="S82" s="80"/>
      <c r="T82" s="80"/>
      <c r="U82" s="79"/>
    </row>
    <row r="83" spans="1:21" s="3" customFormat="1" ht="9" customHeight="1" x14ac:dyDescent="0.2">
      <c r="A83" s="62"/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</row>
    <row r="84" spans="1:21" s="3" customFormat="1" ht="15" customHeight="1" x14ac:dyDescent="0.2">
      <c r="A84" s="66">
        <v>4</v>
      </c>
      <c r="B84" s="68" t="s">
        <v>35</v>
      </c>
      <c r="C84" s="70" t="s">
        <v>45</v>
      </c>
      <c r="D84" s="72" t="s">
        <v>47</v>
      </c>
      <c r="E84" s="91" t="s">
        <v>46</v>
      </c>
      <c r="F84" s="7">
        <v>1</v>
      </c>
      <c r="G84" s="83" t="e">
        <f>U49</f>
        <v>#DIV/0!</v>
      </c>
      <c r="H84" s="84"/>
      <c r="I84" s="79"/>
      <c r="J84" s="79"/>
      <c r="K84" s="79"/>
      <c r="L84" s="79"/>
      <c r="M84" s="79"/>
      <c r="N84" s="79"/>
      <c r="O84" s="79"/>
      <c r="P84" s="79"/>
      <c r="Q84" s="79"/>
      <c r="R84" s="79"/>
      <c r="S84" s="79"/>
      <c r="T84" s="79"/>
      <c r="U84" s="65"/>
    </row>
    <row r="85" spans="1:21" s="3" customFormat="1" ht="36" customHeight="1" x14ac:dyDescent="0.2">
      <c r="A85" s="67"/>
      <c r="B85" s="69"/>
      <c r="C85" s="71"/>
      <c r="D85" s="73"/>
      <c r="E85" s="92"/>
      <c r="F85" s="7">
        <v>1</v>
      </c>
      <c r="G85" s="85"/>
      <c r="H85" s="86"/>
      <c r="I85" s="79"/>
      <c r="J85" s="79"/>
      <c r="K85" s="79"/>
      <c r="L85" s="79"/>
      <c r="M85" s="79"/>
      <c r="N85" s="79"/>
      <c r="O85" s="79"/>
      <c r="P85" s="79"/>
      <c r="Q85" s="79"/>
      <c r="R85" s="79"/>
      <c r="S85" s="79"/>
      <c r="T85" s="79"/>
      <c r="U85" s="65"/>
    </row>
    <row r="86" spans="1:21" s="3" customFormat="1" ht="9" customHeight="1" x14ac:dyDescent="0.2">
      <c r="A86" s="62"/>
      <c r="B86" s="63"/>
      <c r="C86" s="63"/>
      <c r="D86" s="63"/>
      <c r="E86" s="63"/>
      <c r="F86" s="63"/>
      <c r="G86" s="63"/>
      <c r="H86" s="63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</row>
    <row r="87" spans="1:21" s="3" customFormat="1" ht="15" customHeight="1" x14ac:dyDescent="0.2">
      <c r="A87" s="81">
        <v>5</v>
      </c>
      <c r="B87" s="68" t="str">
        <f>B52</f>
        <v>Suministro de bienes y servicios</v>
      </c>
      <c r="C87" s="70" t="s">
        <v>74</v>
      </c>
      <c r="D87" s="72" t="s">
        <v>49</v>
      </c>
      <c r="E87" s="91" t="s">
        <v>46</v>
      </c>
      <c r="F87" s="7">
        <v>1</v>
      </c>
      <c r="G87" s="87" t="e">
        <f>U52</f>
        <v>#DIV/0!</v>
      </c>
      <c r="H87" s="88"/>
      <c r="I87" s="79"/>
      <c r="J87" s="79"/>
      <c r="K87" s="79"/>
      <c r="L87" s="79"/>
      <c r="M87" s="79"/>
      <c r="N87" s="79"/>
      <c r="O87" s="79"/>
      <c r="P87" s="79"/>
      <c r="Q87" s="79"/>
      <c r="R87" s="79"/>
      <c r="S87" s="79"/>
      <c r="T87" s="79"/>
      <c r="U87" s="65"/>
    </row>
    <row r="88" spans="1:21" s="3" customFormat="1" ht="36" customHeight="1" x14ac:dyDescent="0.2">
      <c r="A88" s="82"/>
      <c r="B88" s="69"/>
      <c r="C88" s="71"/>
      <c r="D88" s="73"/>
      <c r="E88" s="92"/>
      <c r="F88" s="7">
        <v>1</v>
      </c>
      <c r="G88" s="89"/>
      <c r="H88" s="90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65"/>
    </row>
    <row r="89" spans="1:21" s="3" customFormat="1" ht="9" customHeight="1" x14ac:dyDescent="0.2">
      <c r="A89" s="62"/>
      <c r="B89" s="63"/>
      <c r="C89" s="63"/>
      <c r="D89" s="63"/>
      <c r="E89" s="63"/>
      <c r="F89" s="63"/>
      <c r="G89" s="63"/>
      <c r="H89" s="63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</row>
  </sheetData>
  <mergeCells count="114">
    <mergeCell ref="A1:U1"/>
    <mergeCell ref="A3:U3"/>
    <mergeCell ref="H5:T5"/>
    <mergeCell ref="U5:U7"/>
    <mergeCell ref="D6:G6"/>
    <mergeCell ref="H6:P6"/>
    <mergeCell ref="Q6:T6"/>
    <mergeCell ref="U31:U47"/>
    <mergeCell ref="A25:T25"/>
    <mergeCell ref="C26:C27"/>
    <mergeCell ref="A31:A47"/>
    <mergeCell ref="B31:B47"/>
    <mergeCell ref="C31:C47"/>
    <mergeCell ref="D31:D47"/>
    <mergeCell ref="E31:G31"/>
    <mergeCell ref="D26:D27"/>
    <mergeCell ref="C28:C29"/>
    <mergeCell ref="B26:B29"/>
    <mergeCell ref="A26:A29"/>
    <mergeCell ref="D28:D29"/>
    <mergeCell ref="E26:G26"/>
    <mergeCell ref="A5:A7"/>
    <mergeCell ref="B5:G5"/>
    <mergeCell ref="B6:C6"/>
    <mergeCell ref="A61:C61"/>
    <mergeCell ref="D61:H61"/>
    <mergeCell ref="A52:A53"/>
    <mergeCell ref="B52:B53"/>
    <mergeCell ref="C52:C53"/>
    <mergeCell ref="D52:D53"/>
    <mergeCell ref="E52:G52"/>
    <mergeCell ref="U52:U53"/>
    <mergeCell ref="H54:K54"/>
    <mergeCell ref="E8:G8"/>
    <mergeCell ref="U8:U24"/>
    <mergeCell ref="F10:F24"/>
    <mergeCell ref="E10:E24"/>
    <mergeCell ref="E9:G9"/>
    <mergeCell ref="A8:A24"/>
    <mergeCell ref="B8:B24"/>
    <mergeCell ref="C8:C24"/>
    <mergeCell ref="D8:D24"/>
    <mergeCell ref="A83:T83"/>
    <mergeCell ref="A48:T48"/>
    <mergeCell ref="A51:T51"/>
    <mergeCell ref="D49:D50"/>
    <mergeCell ref="C49:C50"/>
    <mergeCell ref="B49:B50"/>
    <mergeCell ref="A49:A50"/>
    <mergeCell ref="U71:U72"/>
    <mergeCell ref="C73:C74"/>
    <mergeCell ref="D73:D74"/>
    <mergeCell ref="U73:U74"/>
    <mergeCell ref="I73:T74"/>
    <mergeCell ref="U63:U69"/>
    <mergeCell ref="A70:T70"/>
    <mergeCell ref="A71:A74"/>
    <mergeCell ref="B71:B74"/>
    <mergeCell ref="C71:C72"/>
    <mergeCell ref="D71:D72"/>
    <mergeCell ref="A76:A82"/>
    <mergeCell ref="B76:B82"/>
    <mergeCell ref="A63:A69"/>
    <mergeCell ref="B63:B69"/>
    <mergeCell ref="C63:C69"/>
    <mergeCell ref="D63:D69"/>
    <mergeCell ref="F76:F82"/>
    <mergeCell ref="G76:H82"/>
    <mergeCell ref="E28:G28"/>
    <mergeCell ref="U26:U27"/>
    <mergeCell ref="U28:U29"/>
    <mergeCell ref="E49:G49"/>
    <mergeCell ref="U49:U50"/>
    <mergeCell ref="F33:F47"/>
    <mergeCell ref="E33:E47"/>
    <mergeCell ref="E32:G32"/>
    <mergeCell ref="I62:T62"/>
    <mergeCell ref="G62:H62"/>
    <mergeCell ref="E63:E69"/>
    <mergeCell ref="F63:F69"/>
    <mergeCell ref="G63:H69"/>
    <mergeCell ref="G71:H72"/>
    <mergeCell ref="G73:H74"/>
    <mergeCell ref="E71:E72"/>
    <mergeCell ref="F71:F72"/>
    <mergeCell ref="E73:E74"/>
    <mergeCell ref="F73:F74"/>
    <mergeCell ref="I71:T72"/>
    <mergeCell ref="A60:H60"/>
    <mergeCell ref="I60:U61"/>
    <mergeCell ref="I63:T69"/>
    <mergeCell ref="A89:T89"/>
    <mergeCell ref="U84:U85"/>
    <mergeCell ref="A86:T86"/>
    <mergeCell ref="A84:A85"/>
    <mergeCell ref="B84:B85"/>
    <mergeCell ref="C84:C85"/>
    <mergeCell ref="D84:D85"/>
    <mergeCell ref="C76:C82"/>
    <mergeCell ref="D76:D82"/>
    <mergeCell ref="U76:U82"/>
    <mergeCell ref="I76:T82"/>
    <mergeCell ref="A87:A88"/>
    <mergeCell ref="B87:B88"/>
    <mergeCell ref="C87:C88"/>
    <mergeCell ref="D87:D88"/>
    <mergeCell ref="U87:U88"/>
    <mergeCell ref="G84:H85"/>
    <mergeCell ref="G87:H88"/>
    <mergeCell ref="I84:T85"/>
    <mergeCell ref="I87:T88"/>
    <mergeCell ref="E84:E85"/>
    <mergeCell ref="E87:E88"/>
    <mergeCell ref="E76:E82"/>
  </mergeCells>
  <conditionalFormatting sqref="H50:T50">
    <cfRule type="colorScale" priority="60">
      <colorScale>
        <cfvo type="min"/>
        <cfvo type="max"/>
        <color rgb="FFF8696B"/>
        <color rgb="FFFCFCFF"/>
      </colorScale>
    </cfRule>
  </conditionalFormatting>
  <conditionalFormatting sqref="H50:T50">
    <cfRule type="colorScale" priority="5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7:T27">
    <cfRule type="colorScale" priority="5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29:T29">
    <cfRule type="colorScale" priority="53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28">
    <cfRule type="dataBar" priority="4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{B1F6D412-75BD-4689-BC03-2C38196D0A6A}</x14:id>
        </ext>
      </extLst>
    </cfRule>
  </conditionalFormatting>
  <conditionalFormatting sqref="U49">
    <cfRule type="dataBar" priority="4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{D217E6CE-D269-4861-B703-EFE9EC128F91}</x14:id>
        </ext>
      </extLst>
    </cfRule>
  </conditionalFormatting>
  <conditionalFormatting sqref="H53:T53">
    <cfRule type="colorScale" priority="45">
      <colorScale>
        <cfvo type="min"/>
        <cfvo type="max"/>
        <color rgb="FFF8696B"/>
        <color rgb="FFFCFCFF"/>
      </colorScale>
    </cfRule>
  </conditionalFormatting>
  <conditionalFormatting sqref="H53:T53">
    <cfRule type="colorScale" priority="4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52">
    <cfRule type="dataBar" priority="43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{F85EE607-F330-4459-B3B2-774B42CB4CA0}</x14:id>
        </ext>
      </extLst>
    </cfRule>
  </conditionalFormatting>
  <conditionalFormatting sqref="H9:T9">
    <cfRule type="colorScale" priority="36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H10:T24">
    <cfRule type="colorScale" priority="35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75 U86 U89 U70 U83">
    <cfRule type="dataBar" priority="2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{EAE37C50-EA57-49F8-8272-C002EA22F1D6}</x14:id>
        </ext>
      </extLst>
    </cfRule>
  </conditionalFormatting>
  <conditionalFormatting sqref="U30:U48 U51 U25:U26">
    <cfRule type="dataBar" priority="7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{8FD4965A-32E8-44EF-B786-5DEAE7AFA76F}</x14:id>
        </ext>
      </extLst>
    </cfRule>
  </conditionalFormatting>
  <conditionalFormatting sqref="G63:H69 G71:H74 G76:H82 G84:H85 G87:H88">
    <cfRule type="dataBar" priority="7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{C3195D2D-3973-420C-A6BD-CD2231E20242}</x14:id>
        </ext>
      </extLst>
    </cfRule>
  </conditionalFormatting>
  <conditionalFormatting sqref="P32">
    <cfRule type="colorScale" priority="4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T32">
    <cfRule type="colorScale" priority="2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U8:U24">
    <cfRule type="dataBar" priority="107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{8499AAA0-55A2-49CA-B707-32961F426DAF}</x14:id>
        </ext>
      </extLst>
    </cfRule>
  </conditionalFormatting>
  <conditionalFormatting sqref="H32:O47 Q32:S47">
    <cfRule type="colorScale" priority="119">
      <colorScale>
        <cfvo type="min"/>
        <cfvo type="percentile" val="50"/>
        <cfvo type="max"/>
        <color rgb="FFE98BD7"/>
        <color rgb="FFD5007F"/>
        <color rgb="FF950054"/>
      </colorScale>
    </cfRule>
  </conditionalFormatting>
  <conditionalFormatting sqref="P33:P47">
    <cfRule type="colorScale" priority="121">
      <colorScale>
        <cfvo type="min"/>
        <cfvo type="max"/>
        <color rgb="FFE98BD7"/>
        <color rgb="FF950054"/>
      </colorScale>
    </cfRule>
  </conditionalFormatting>
  <conditionalFormatting sqref="T33:T47">
    <cfRule type="colorScale" priority="122">
      <colorScale>
        <cfvo type="min"/>
        <cfvo type="max"/>
        <color rgb="FFE98BD7"/>
        <color rgb="FF950054"/>
      </colorScale>
    </cfRule>
  </conditionalFormatting>
  <dataValidations count="1">
    <dataValidation showDropDown="1" showInputMessage="1" showErrorMessage="1" sqref="F27:F29 F10:F24 F49:F50 F52:F53 F33:F45 F87:F88 F63 F73 F84:F85 F76 F71"/>
  </dataValidations>
  <printOptions horizontalCentered="1" verticalCentered="1"/>
  <pageMargins left="0.23622047244094491" right="0.23622047244094491" top="0.46" bottom="0.37" header="0.25" footer="0.31496062992125984"/>
  <pageSetup paperSize="9" scale="57" fitToHeight="2" orientation="landscape" r:id="rId1"/>
  <rowBreaks count="1" manualBreakCount="1">
    <brk id="58" max="16383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F6D412-75BD-4689-BC03-2C38196D0A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U28</xm:sqref>
        </x14:conditionalFormatting>
        <x14:conditionalFormatting xmlns:xm="http://schemas.microsoft.com/office/excel/2006/main">
          <x14:cfRule type="dataBar" id="{D217E6CE-D269-4861-B703-EFE9EC128F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U49</xm:sqref>
        </x14:conditionalFormatting>
        <x14:conditionalFormatting xmlns:xm="http://schemas.microsoft.com/office/excel/2006/main">
          <x14:cfRule type="dataBar" id="{F85EE607-F330-4459-B3B2-774B42CB4C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U52</xm:sqref>
        </x14:conditionalFormatting>
        <x14:conditionalFormatting xmlns:xm="http://schemas.microsoft.com/office/excel/2006/main">
          <x14:cfRule type="dataBar" id="{EAE37C50-EA57-49F8-8272-C002EA22F1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U75 U86 U89 U70 U83</xm:sqref>
        </x14:conditionalFormatting>
        <x14:conditionalFormatting xmlns:xm="http://schemas.microsoft.com/office/excel/2006/main">
          <x14:cfRule type="dataBar" id="{8FD4965A-32E8-44EF-B786-5DEAE7AFA76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U30:U48 U51 U25:U26</xm:sqref>
        </x14:conditionalFormatting>
        <x14:conditionalFormatting xmlns:xm="http://schemas.microsoft.com/office/excel/2006/main">
          <x14:cfRule type="dataBar" id="{C3195D2D-3973-420C-A6BD-CD2231E202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G63:H69 G71:H74 G76:H82 G84:H85 G87:H88</xm:sqref>
        </x14:conditionalFormatting>
        <x14:conditionalFormatting xmlns:xm="http://schemas.microsoft.com/office/excel/2006/main">
          <x14:cfRule type="dataBar" id="{8499AAA0-55A2-49CA-B707-32961F426D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U8:U24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5"/>
  <sheetViews>
    <sheetView topLeftCell="A34" workbookViewId="0">
      <selection activeCell="A24" sqref="A24:XFD24"/>
    </sheetView>
  </sheetViews>
  <sheetFormatPr baseColWidth="10" defaultRowHeight="12.75" x14ac:dyDescent="0.2"/>
  <cols>
    <col min="1" max="1" width="4.42578125" bestFit="1" customWidth="1"/>
    <col min="2" max="2" width="7.7109375" bestFit="1" customWidth="1"/>
    <col min="3" max="3" width="44.7109375" bestFit="1" customWidth="1"/>
    <col min="4" max="4" width="9" bestFit="1" customWidth="1"/>
    <col min="5" max="5" width="29" customWidth="1"/>
    <col min="6" max="6" width="12.85546875" bestFit="1" customWidth="1"/>
  </cols>
  <sheetData>
    <row r="2" spans="1:11" ht="13.5" thickBot="1" x14ac:dyDescent="0.25">
      <c r="A2" s="174" t="s">
        <v>96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</row>
    <row r="3" spans="1:11" x14ac:dyDescent="0.2">
      <c r="A3" s="175" t="s">
        <v>60</v>
      </c>
      <c r="B3" s="177" t="s">
        <v>63</v>
      </c>
      <c r="C3" s="177" t="s">
        <v>61</v>
      </c>
      <c r="D3" s="177" t="s">
        <v>65</v>
      </c>
      <c r="E3" s="177" t="s">
        <v>67</v>
      </c>
      <c r="F3" s="177" t="s">
        <v>33</v>
      </c>
      <c r="G3" s="177"/>
      <c r="H3" s="177"/>
      <c r="I3" s="179" t="s">
        <v>62</v>
      </c>
      <c r="J3" s="179"/>
      <c r="K3" s="180"/>
    </row>
    <row r="4" spans="1:11" ht="24" x14ac:dyDescent="0.2">
      <c r="A4" s="176"/>
      <c r="B4" s="178"/>
      <c r="C4" s="178"/>
      <c r="D4" s="178"/>
      <c r="E4" s="178"/>
      <c r="F4" s="34" t="s">
        <v>97</v>
      </c>
      <c r="G4" s="34" t="s">
        <v>98</v>
      </c>
      <c r="H4" s="34" t="s">
        <v>99</v>
      </c>
      <c r="I4" s="35" t="s">
        <v>99</v>
      </c>
      <c r="J4" s="35" t="s">
        <v>98</v>
      </c>
      <c r="K4" s="36" t="s">
        <v>68</v>
      </c>
    </row>
    <row r="5" spans="1:11" x14ac:dyDescent="0.2">
      <c r="A5" s="32"/>
      <c r="B5" s="29"/>
      <c r="C5" s="30"/>
      <c r="D5" s="30"/>
      <c r="E5" s="30"/>
      <c r="F5" s="30"/>
      <c r="G5" s="30"/>
      <c r="H5" s="30"/>
      <c r="I5" s="30"/>
      <c r="J5" s="30"/>
      <c r="K5" s="33"/>
    </row>
    <row r="6" spans="1:11" x14ac:dyDescent="0.2">
      <c r="A6" s="32"/>
      <c r="B6" s="29"/>
      <c r="C6" s="30"/>
      <c r="D6" s="30"/>
      <c r="E6" s="30"/>
      <c r="F6" s="30"/>
      <c r="G6" s="30"/>
      <c r="H6" s="30"/>
      <c r="I6" s="30"/>
      <c r="J6" s="30"/>
      <c r="K6" s="33"/>
    </row>
    <row r="7" spans="1:11" x14ac:dyDescent="0.2">
      <c r="A7" s="32"/>
      <c r="B7" s="29"/>
      <c r="C7" s="30"/>
      <c r="D7" s="30"/>
      <c r="E7" s="30"/>
      <c r="F7" s="30"/>
      <c r="G7" s="30"/>
      <c r="H7" s="30"/>
      <c r="I7" s="30"/>
      <c r="J7" s="30"/>
      <c r="K7" s="33"/>
    </row>
    <row r="8" spans="1:11" x14ac:dyDescent="0.2">
      <c r="A8" s="32"/>
      <c r="B8" s="29"/>
      <c r="C8" s="30"/>
      <c r="D8" s="30"/>
      <c r="E8" s="30"/>
      <c r="F8" s="30"/>
      <c r="G8" s="30"/>
      <c r="H8" s="30"/>
      <c r="I8" s="30"/>
      <c r="J8" s="30"/>
      <c r="K8" s="33"/>
    </row>
    <row r="9" spans="1:11" x14ac:dyDescent="0.2">
      <c r="A9" s="32"/>
      <c r="B9" s="29"/>
      <c r="C9" s="30"/>
      <c r="D9" s="30"/>
      <c r="E9" s="30"/>
      <c r="F9" s="30"/>
      <c r="G9" s="30"/>
      <c r="H9" s="30"/>
      <c r="I9" s="30"/>
      <c r="J9" s="30"/>
      <c r="K9" s="33"/>
    </row>
    <row r="10" spans="1:11" x14ac:dyDescent="0.2">
      <c r="A10" s="32"/>
      <c r="B10" s="29"/>
      <c r="C10" s="30"/>
      <c r="D10" s="30"/>
      <c r="E10" s="30"/>
      <c r="F10" s="30"/>
      <c r="G10" s="30"/>
      <c r="H10" s="30"/>
      <c r="I10" s="30"/>
      <c r="J10" s="30"/>
      <c r="K10" s="33"/>
    </row>
    <row r="11" spans="1:11" x14ac:dyDescent="0.2">
      <c r="A11" s="32"/>
      <c r="B11" s="29"/>
      <c r="C11" s="30"/>
      <c r="D11" s="30"/>
      <c r="E11" s="30"/>
      <c r="F11" s="30"/>
      <c r="G11" s="30"/>
      <c r="H11" s="30"/>
      <c r="I11" s="30"/>
      <c r="J11" s="30"/>
      <c r="K11" s="33"/>
    </row>
    <row r="12" spans="1:11" x14ac:dyDescent="0.2">
      <c r="A12" s="32"/>
      <c r="B12" s="29"/>
      <c r="C12" s="30"/>
      <c r="D12" s="30"/>
      <c r="E12" s="30"/>
      <c r="F12" s="30"/>
      <c r="G12" s="30"/>
      <c r="H12" s="30"/>
      <c r="I12" s="30"/>
      <c r="J12" s="30"/>
      <c r="K12" s="33"/>
    </row>
    <row r="13" spans="1:11" x14ac:dyDescent="0.2">
      <c r="A13" s="32"/>
      <c r="B13" s="29"/>
      <c r="C13" s="30"/>
      <c r="D13" s="30"/>
      <c r="E13" s="30"/>
      <c r="F13" s="30"/>
      <c r="G13" s="30"/>
      <c r="H13" s="30"/>
      <c r="I13" s="30"/>
      <c r="J13" s="30"/>
      <c r="K13" s="33"/>
    </row>
    <row r="14" spans="1:11" x14ac:dyDescent="0.2">
      <c r="A14" s="32"/>
      <c r="B14" s="29"/>
      <c r="C14" s="30"/>
      <c r="D14" s="30"/>
      <c r="E14" s="30"/>
      <c r="F14" s="30"/>
      <c r="G14" s="30"/>
      <c r="H14" s="30"/>
      <c r="I14" s="30"/>
      <c r="J14" s="30"/>
      <c r="K14" s="33"/>
    </row>
    <row r="15" spans="1:11" x14ac:dyDescent="0.2">
      <c r="A15" s="32"/>
      <c r="B15" s="29"/>
      <c r="C15" s="30"/>
      <c r="D15" s="30"/>
      <c r="E15" s="30"/>
      <c r="F15" s="30"/>
      <c r="G15" s="30"/>
      <c r="H15" s="30"/>
      <c r="I15" s="30"/>
      <c r="J15" s="30"/>
      <c r="K15" s="33"/>
    </row>
    <row r="16" spans="1:11" x14ac:dyDescent="0.2">
      <c r="A16" s="32"/>
      <c r="B16" s="29"/>
      <c r="C16" s="30"/>
      <c r="D16" s="30"/>
      <c r="E16" s="30"/>
      <c r="F16" s="30"/>
      <c r="G16" s="30"/>
      <c r="H16" s="30"/>
      <c r="I16" s="30"/>
      <c r="J16" s="30"/>
      <c r="K16" s="33"/>
    </row>
    <row r="17" spans="1:11" x14ac:dyDescent="0.2">
      <c r="A17" s="32"/>
      <c r="B17" s="29"/>
      <c r="C17" s="30"/>
      <c r="D17" s="30"/>
      <c r="E17" s="30"/>
      <c r="F17" s="30"/>
      <c r="G17" s="30"/>
      <c r="H17" s="30"/>
      <c r="I17" s="30"/>
      <c r="J17" s="30"/>
      <c r="K17" s="33"/>
    </row>
    <row r="18" spans="1:11" x14ac:dyDescent="0.2">
      <c r="A18" s="32"/>
      <c r="B18" s="29"/>
      <c r="C18" s="30"/>
      <c r="D18" s="30"/>
      <c r="E18" s="30"/>
      <c r="F18" s="30"/>
      <c r="G18" s="30"/>
      <c r="H18" s="30"/>
      <c r="I18" s="30"/>
      <c r="J18" s="30"/>
      <c r="K18" s="33"/>
    </row>
    <row r="19" spans="1:11" x14ac:dyDescent="0.2">
      <c r="A19" s="171" t="s">
        <v>64</v>
      </c>
      <c r="B19" s="172"/>
      <c r="C19" s="172"/>
      <c r="D19" s="23"/>
      <c r="E19" s="30"/>
      <c r="F19" s="30"/>
      <c r="G19" s="30"/>
      <c r="H19" s="30"/>
      <c r="I19" s="37" t="e">
        <f>SUM(I5:I18)/D19</f>
        <v>#DIV/0!</v>
      </c>
      <c r="J19" s="30"/>
      <c r="K19" s="33"/>
    </row>
    <row r="20" spans="1:11" x14ac:dyDescent="0.2">
      <c r="A20" s="32"/>
      <c r="B20" s="31"/>
      <c r="C20" s="30"/>
      <c r="D20" s="30"/>
      <c r="E20" s="30"/>
      <c r="F20" s="30"/>
      <c r="G20" s="30"/>
      <c r="H20" s="30"/>
      <c r="I20" s="30"/>
      <c r="J20" s="30"/>
      <c r="K20" s="33"/>
    </row>
    <row r="21" spans="1:11" x14ac:dyDescent="0.2">
      <c r="A21" s="32"/>
      <c r="B21" s="31"/>
      <c r="C21" s="30"/>
      <c r="D21" s="30"/>
      <c r="E21" s="30"/>
      <c r="F21" s="30"/>
      <c r="G21" s="30"/>
      <c r="H21" s="30"/>
      <c r="I21" s="30"/>
      <c r="J21" s="30"/>
      <c r="K21" s="33"/>
    </row>
    <row r="22" spans="1:11" x14ac:dyDescent="0.2">
      <c r="A22" s="32"/>
      <c r="B22" s="31"/>
      <c r="C22" s="29"/>
      <c r="D22" s="30"/>
      <c r="E22" s="30"/>
      <c r="F22" s="30"/>
      <c r="G22" s="30"/>
      <c r="H22" s="30"/>
      <c r="I22" s="30"/>
      <c r="J22" s="30"/>
      <c r="K22" s="33"/>
    </row>
    <row r="23" spans="1:11" x14ac:dyDescent="0.2">
      <c r="A23" s="32"/>
      <c r="B23" s="31"/>
      <c r="C23" s="30"/>
      <c r="D23" s="30"/>
      <c r="E23" s="30"/>
      <c r="F23" s="30"/>
      <c r="G23" s="30"/>
      <c r="H23" s="30"/>
      <c r="I23" s="30"/>
      <c r="J23" s="30"/>
      <c r="K23" s="33"/>
    </row>
    <row r="24" spans="1:11" x14ac:dyDescent="0.2">
      <c r="A24" s="32"/>
      <c r="B24" s="31"/>
      <c r="C24" s="30"/>
      <c r="D24" s="30"/>
      <c r="E24" s="30"/>
      <c r="F24" s="30"/>
      <c r="G24" s="30"/>
      <c r="H24" s="30"/>
      <c r="I24" s="30"/>
      <c r="J24" s="30"/>
      <c r="K24" s="33"/>
    </row>
    <row r="25" spans="1:11" x14ac:dyDescent="0.2">
      <c r="A25" s="32"/>
      <c r="B25" s="31"/>
      <c r="C25" s="30"/>
      <c r="D25" s="30"/>
      <c r="E25" s="30"/>
      <c r="F25" s="30"/>
      <c r="G25" s="30"/>
      <c r="H25" s="30"/>
      <c r="I25" s="29"/>
      <c r="J25" s="30"/>
      <c r="K25" s="33"/>
    </row>
    <row r="26" spans="1:11" x14ac:dyDescent="0.2">
      <c r="A26" s="32"/>
      <c r="B26" s="31"/>
      <c r="C26" s="30"/>
      <c r="D26" s="30"/>
      <c r="E26" s="30"/>
      <c r="F26" s="30"/>
      <c r="G26" s="30"/>
      <c r="H26" s="30"/>
      <c r="I26" s="30"/>
      <c r="J26" s="30"/>
      <c r="K26" s="33"/>
    </row>
    <row r="27" spans="1:11" x14ac:dyDescent="0.2">
      <c r="A27" s="32"/>
      <c r="B27" s="31"/>
      <c r="C27" s="30"/>
      <c r="D27" s="30"/>
      <c r="E27" s="30"/>
      <c r="F27" s="30"/>
      <c r="G27" s="30"/>
      <c r="H27" s="30"/>
      <c r="I27" s="30"/>
      <c r="J27" s="30"/>
      <c r="K27" s="33"/>
    </row>
    <row r="28" spans="1:11" x14ac:dyDescent="0.2">
      <c r="A28" s="32"/>
      <c r="B28" s="31"/>
      <c r="C28" s="30"/>
      <c r="D28" s="30"/>
      <c r="E28" s="30"/>
      <c r="F28" s="30"/>
      <c r="G28" s="30"/>
      <c r="H28" s="30"/>
      <c r="I28" s="30"/>
      <c r="J28" s="30"/>
      <c r="K28" s="33"/>
    </row>
    <row r="29" spans="1:11" x14ac:dyDescent="0.2">
      <c r="A29" s="32"/>
      <c r="B29" s="31"/>
      <c r="C29" s="30"/>
      <c r="D29" s="30"/>
      <c r="E29" s="30"/>
      <c r="F29" s="30"/>
      <c r="G29" s="30"/>
      <c r="H29" s="30"/>
      <c r="I29" s="30"/>
      <c r="J29" s="30"/>
      <c r="K29" s="33"/>
    </row>
    <row r="30" spans="1:11" x14ac:dyDescent="0.2">
      <c r="A30" s="32"/>
      <c r="B30" s="31"/>
      <c r="C30" s="30"/>
      <c r="D30" s="30"/>
      <c r="E30" s="30"/>
      <c r="F30" s="30"/>
      <c r="G30" s="30"/>
      <c r="H30" s="30"/>
      <c r="I30" s="30"/>
      <c r="J30" s="30"/>
      <c r="K30" s="33"/>
    </row>
    <row r="31" spans="1:11" x14ac:dyDescent="0.2">
      <c r="A31" s="171" t="s">
        <v>64</v>
      </c>
      <c r="B31" s="173"/>
      <c r="C31" s="173"/>
      <c r="D31" s="30"/>
      <c r="E31" s="30"/>
      <c r="F31" s="30"/>
      <c r="G31" s="30"/>
      <c r="H31" s="30"/>
      <c r="I31" s="37">
        <f>SUM(I20:I30)/11</f>
        <v>0</v>
      </c>
      <c r="J31" s="30"/>
      <c r="K31" s="33"/>
    </row>
    <row r="32" spans="1:11" x14ac:dyDescent="0.2">
      <c r="A32" s="32"/>
      <c r="B32" s="31"/>
      <c r="C32" s="30"/>
      <c r="D32" s="30"/>
      <c r="E32" s="30"/>
      <c r="F32" s="30"/>
      <c r="G32" s="30"/>
      <c r="H32" s="30"/>
      <c r="I32" s="30"/>
      <c r="J32" s="30"/>
      <c r="K32" s="33"/>
    </row>
    <row r="33" spans="1:11" x14ac:dyDescent="0.2">
      <c r="A33" s="32"/>
      <c r="B33" s="31"/>
      <c r="C33" s="30"/>
      <c r="D33" s="30"/>
      <c r="E33" s="30"/>
      <c r="F33" s="30"/>
      <c r="G33" s="30"/>
      <c r="H33" s="30"/>
      <c r="I33" s="30"/>
      <c r="J33" s="30"/>
      <c r="K33" s="33"/>
    </row>
    <row r="34" spans="1:11" x14ac:dyDescent="0.2">
      <c r="A34" s="32"/>
      <c r="B34" s="31"/>
      <c r="C34" s="30"/>
      <c r="D34" s="30"/>
      <c r="E34" s="30"/>
      <c r="F34" s="30"/>
      <c r="G34" s="30"/>
      <c r="H34" s="30"/>
      <c r="I34" s="30"/>
      <c r="J34" s="30"/>
      <c r="K34" s="33"/>
    </row>
    <row r="35" spans="1:11" x14ac:dyDescent="0.2">
      <c r="A35" s="32"/>
      <c r="B35" s="31"/>
      <c r="C35" s="30"/>
      <c r="D35" s="30"/>
      <c r="E35" s="30"/>
      <c r="F35" s="30"/>
      <c r="G35" s="30"/>
      <c r="H35" s="30"/>
      <c r="I35" s="30"/>
      <c r="J35" s="30"/>
      <c r="K35" s="33"/>
    </row>
    <row r="36" spans="1:11" x14ac:dyDescent="0.2">
      <c r="A36" s="32"/>
      <c r="B36" s="31"/>
      <c r="C36" s="30"/>
      <c r="D36" s="30"/>
      <c r="E36" s="30"/>
      <c r="F36" s="30"/>
      <c r="G36" s="30"/>
      <c r="H36" s="30"/>
      <c r="I36" s="30"/>
      <c r="J36" s="30"/>
      <c r="K36" s="33"/>
    </row>
    <row r="37" spans="1:11" x14ac:dyDescent="0.2">
      <c r="A37" s="32"/>
      <c r="B37" s="31"/>
      <c r="C37" s="30"/>
      <c r="D37" s="30"/>
      <c r="E37" s="30"/>
      <c r="F37" s="30"/>
      <c r="G37" s="30"/>
      <c r="H37" s="30"/>
      <c r="I37" s="30"/>
      <c r="J37" s="30"/>
      <c r="K37" s="33"/>
    </row>
    <row r="38" spans="1:11" x14ac:dyDescent="0.2">
      <c r="A38" s="32"/>
      <c r="B38" s="31"/>
      <c r="C38" s="30"/>
      <c r="D38" s="30"/>
      <c r="E38" s="30"/>
      <c r="F38" s="30"/>
      <c r="G38" s="30"/>
      <c r="H38" s="30"/>
      <c r="I38" s="30"/>
      <c r="J38" s="30"/>
      <c r="K38" s="33"/>
    </row>
    <row r="39" spans="1:11" x14ac:dyDescent="0.2">
      <c r="A39" s="32"/>
      <c r="B39" s="31"/>
      <c r="C39" s="30"/>
      <c r="D39" s="30"/>
      <c r="E39" s="30"/>
      <c r="F39" s="30"/>
      <c r="G39" s="30"/>
      <c r="H39" s="30"/>
      <c r="I39" s="30"/>
      <c r="J39" s="30"/>
      <c r="K39" s="33"/>
    </row>
    <row r="40" spans="1:11" x14ac:dyDescent="0.2">
      <c r="A40" s="32"/>
      <c r="B40" s="31"/>
      <c r="C40" s="30"/>
      <c r="D40" s="30"/>
      <c r="E40" s="30"/>
      <c r="F40" s="30"/>
      <c r="G40" s="30"/>
      <c r="H40" s="30"/>
      <c r="I40" s="30"/>
      <c r="J40" s="30"/>
      <c r="K40" s="33"/>
    </row>
    <row r="41" spans="1:11" x14ac:dyDescent="0.2">
      <c r="A41" s="32"/>
      <c r="B41" s="31"/>
      <c r="C41" s="30"/>
      <c r="D41" s="30"/>
      <c r="E41" s="30"/>
      <c r="F41" s="30"/>
      <c r="G41" s="30"/>
      <c r="H41" s="30"/>
      <c r="I41" s="30"/>
      <c r="J41" s="30"/>
      <c r="K41" s="33"/>
    </row>
    <row r="42" spans="1:11" x14ac:dyDescent="0.2">
      <c r="A42" s="32"/>
      <c r="B42" s="31"/>
      <c r="C42" s="30"/>
      <c r="D42" s="30"/>
      <c r="E42" s="30"/>
      <c r="F42" s="30"/>
      <c r="G42" s="30"/>
      <c r="H42" s="30"/>
      <c r="I42" s="30"/>
      <c r="J42" s="30"/>
      <c r="K42" s="33"/>
    </row>
    <row r="43" spans="1:11" x14ac:dyDescent="0.2">
      <c r="A43" s="32"/>
      <c r="B43" s="31"/>
      <c r="C43" s="30"/>
      <c r="D43" s="30"/>
      <c r="E43" s="30"/>
      <c r="F43" s="30"/>
      <c r="G43" s="30"/>
      <c r="H43" s="30"/>
      <c r="I43" s="30"/>
      <c r="J43" s="30"/>
      <c r="K43" s="33"/>
    </row>
    <row r="44" spans="1:11" x14ac:dyDescent="0.2">
      <c r="A44" s="32"/>
      <c r="B44" s="31"/>
      <c r="C44" s="30"/>
      <c r="D44" s="30"/>
      <c r="E44" s="30"/>
      <c r="F44" s="30"/>
      <c r="G44" s="30"/>
      <c r="H44" s="30"/>
      <c r="I44" s="30"/>
      <c r="J44" s="30"/>
      <c r="K44" s="33"/>
    </row>
    <row r="45" spans="1:11" x14ac:dyDescent="0.2">
      <c r="A45" s="32"/>
      <c r="B45" s="31"/>
      <c r="C45" s="30"/>
      <c r="D45" s="30"/>
      <c r="E45" s="30"/>
      <c r="F45" s="30"/>
      <c r="G45" s="30"/>
      <c r="H45" s="30"/>
      <c r="I45" s="30"/>
      <c r="J45" s="30"/>
      <c r="K45" s="33"/>
    </row>
    <row r="46" spans="1:11" x14ac:dyDescent="0.2">
      <c r="A46" s="32"/>
      <c r="B46" s="31"/>
      <c r="C46" s="30"/>
      <c r="D46" s="30"/>
      <c r="E46" s="30"/>
      <c r="F46" s="30"/>
      <c r="G46" s="30"/>
      <c r="H46" s="30"/>
      <c r="I46" s="30"/>
      <c r="J46" s="30"/>
      <c r="K46" s="33"/>
    </row>
    <row r="47" spans="1:11" x14ac:dyDescent="0.2">
      <c r="A47" s="32"/>
      <c r="B47" s="31"/>
      <c r="C47" s="30"/>
      <c r="D47" s="30"/>
      <c r="E47" s="30"/>
      <c r="F47" s="30"/>
      <c r="G47" s="30"/>
      <c r="H47" s="30"/>
      <c r="I47" s="30"/>
      <c r="J47" s="30"/>
      <c r="K47" s="33"/>
    </row>
    <row r="48" spans="1:11" x14ac:dyDescent="0.2">
      <c r="A48" s="32"/>
      <c r="B48" s="31"/>
      <c r="C48" s="30"/>
      <c r="D48" s="30"/>
      <c r="E48" s="30"/>
      <c r="F48" s="30"/>
      <c r="G48" s="30"/>
      <c r="H48" s="30"/>
      <c r="I48" s="30"/>
      <c r="J48" s="30"/>
      <c r="K48" s="33"/>
    </row>
    <row r="49" spans="1:11" x14ac:dyDescent="0.2">
      <c r="A49" s="32"/>
      <c r="B49" s="31"/>
      <c r="C49" s="30"/>
      <c r="D49" s="30"/>
      <c r="E49" s="30"/>
      <c r="F49" s="30"/>
      <c r="G49" s="30"/>
      <c r="H49" s="30"/>
      <c r="I49" s="30"/>
      <c r="J49" s="30"/>
      <c r="K49" s="33"/>
    </row>
    <row r="50" spans="1:11" x14ac:dyDescent="0.2">
      <c r="A50" s="32"/>
      <c r="B50" s="31"/>
      <c r="C50" s="29"/>
      <c r="D50" s="30"/>
      <c r="E50" s="30"/>
      <c r="F50" s="30"/>
      <c r="G50" s="30"/>
      <c r="H50" s="30"/>
      <c r="I50" s="30"/>
      <c r="J50" s="30"/>
      <c r="K50" s="33"/>
    </row>
    <row r="51" spans="1:11" x14ac:dyDescent="0.2">
      <c r="A51" s="32"/>
      <c r="B51" s="31"/>
      <c r="C51" s="29"/>
      <c r="D51" s="30"/>
      <c r="E51" s="30"/>
      <c r="F51" s="30"/>
      <c r="G51" s="30"/>
      <c r="H51" s="30"/>
      <c r="I51" s="30"/>
      <c r="J51" s="30"/>
      <c r="K51" s="33"/>
    </row>
    <row r="52" spans="1:11" x14ac:dyDescent="0.2">
      <c r="A52" s="32"/>
      <c r="B52" s="31"/>
      <c r="C52" s="30"/>
      <c r="D52" s="30"/>
      <c r="E52" s="30"/>
      <c r="F52" s="30"/>
      <c r="G52" s="30"/>
      <c r="H52" s="30"/>
      <c r="I52" s="30"/>
      <c r="J52" s="30"/>
      <c r="K52" s="33"/>
    </row>
    <row r="53" spans="1:11" x14ac:dyDescent="0.2">
      <c r="A53" s="32"/>
      <c r="B53" s="31"/>
      <c r="C53" s="30"/>
      <c r="D53" s="30"/>
      <c r="E53" s="30"/>
      <c r="F53" s="30"/>
      <c r="G53" s="30"/>
      <c r="H53" s="30"/>
      <c r="I53" s="30"/>
      <c r="J53" s="30"/>
      <c r="K53" s="33"/>
    </row>
    <row r="54" spans="1:11" x14ac:dyDescent="0.2">
      <c r="A54" s="32"/>
      <c r="B54" s="31"/>
      <c r="C54" s="30"/>
      <c r="D54" s="30"/>
      <c r="E54" s="30"/>
      <c r="F54" s="30"/>
      <c r="G54" s="30"/>
      <c r="H54" s="30"/>
      <c r="I54" s="30"/>
      <c r="J54" s="30"/>
      <c r="K54" s="33"/>
    </row>
    <row r="55" spans="1:11" x14ac:dyDescent="0.2">
      <c r="A55" s="32"/>
      <c r="B55" s="31"/>
      <c r="C55" s="30"/>
      <c r="D55" s="30"/>
      <c r="E55" s="30"/>
      <c r="F55" s="30"/>
      <c r="G55" s="30"/>
      <c r="H55" s="30"/>
      <c r="I55" s="30"/>
      <c r="J55" s="30"/>
      <c r="K55" s="33"/>
    </row>
    <row r="56" spans="1:11" x14ac:dyDescent="0.2">
      <c r="A56" s="32"/>
      <c r="B56" s="31"/>
      <c r="C56" s="30"/>
      <c r="D56" s="30"/>
      <c r="E56" s="30"/>
      <c r="F56" s="30"/>
      <c r="G56" s="30"/>
      <c r="H56" s="30"/>
      <c r="I56" s="30"/>
      <c r="J56" s="30"/>
      <c r="K56" s="33"/>
    </row>
    <row r="57" spans="1:11" x14ac:dyDescent="0.2">
      <c r="A57" s="32"/>
      <c r="B57" s="31"/>
      <c r="C57" s="30"/>
      <c r="D57" s="30"/>
      <c r="E57" s="30"/>
      <c r="F57" s="30"/>
      <c r="G57" s="30"/>
      <c r="H57" s="30"/>
      <c r="I57" s="30"/>
      <c r="J57" s="30"/>
      <c r="K57" s="33"/>
    </row>
    <row r="58" spans="1:11" x14ac:dyDescent="0.2">
      <c r="A58" s="32"/>
      <c r="B58" s="31"/>
      <c r="C58" s="30"/>
      <c r="D58" s="30"/>
      <c r="E58" s="30"/>
      <c r="F58" s="30"/>
      <c r="G58" s="30"/>
      <c r="H58" s="30"/>
      <c r="I58" s="30"/>
      <c r="J58" s="30"/>
      <c r="K58" s="33"/>
    </row>
    <row r="59" spans="1:11" x14ac:dyDescent="0.2">
      <c r="A59" s="32"/>
      <c r="B59" s="31"/>
      <c r="C59" s="30"/>
      <c r="D59" s="30"/>
      <c r="E59" s="30"/>
      <c r="F59" s="30"/>
      <c r="G59" s="30"/>
      <c r="H59" s="30"/>
      <c r="I59" s="30"/>
      <c r="J59" s="30"/>
      <c r="K59" s="33"/>
    </row>
    <row r="60" spans="1:11" x14ac:dyDescent="0.2">
      <c r="A60" s="32"/>
      <c r="B60" s="31"/>
      <c r="C60" s="30"/>
      <c r="D60" s="30"/>
      <c r="E60" s="30"/>
      <c r="F60" s="30"/>
      <c r="G60" s="30"/>
      <c r="H60" s="30"/>
      <c r="I60" s="30"/>
      <c r="J60" s="30"/>
      <c r="K60" s="33"/>
    </row>
    <row r="61" spans="1:11" x14ac:dyDescent="0.2">
      <c r="A61" s="171" t="s">
        <v>66</v>
      </c>
      <c r="B61" s="173"/>
      <c r="C61" s="173"/>
      <c r="D61" s="30"/>
      <c r="E61" s="30"/>
      <c r="F61" s="30"/>
      <c r="G61" s="30"/>
      <c r="H61" s="30"/>
      <c r="I61" s="38" t="e">
        <f>SUM(I32:I60)/D61</f>
        <v>#DIV/0!</v>
      </c>
      <c r="J61" s="30"/>
      <c r="K61" s="33"/>
    </row>
    <row r="62" spans="1:11" x14ac:dyDescent="0.2">
      <c r="A62" s="32"/>
      <c r="B62" s="31"/>
      <c r="C62" s="30"/>
      <c r="D62" s="30"/>
      <c r="E62" s="30"/>
      <c r="F62" s="30"/>
      <c r="G62" s="30"/>
      <c r="H62" s="30"/>
      <c r="I62" s="30"/>
      <c r="J62" s="30"/>
      <c r="K62" s="33"/>
    </row>
    <row r="65" spans="1:11" x14ac:dyDescent="0.2">
      <c r="A65" s="171" t="s">
        <v>66</v>
      </c>
      <c r="B65" s="173"/>
      <c r="C65" s="173"/>
      <c r="D65" s="30"/>
      <c r="E65" s="30"/>
      <c r="F65" s="30"/>
      <c r="G65" s="30"/>
      <c r="H65" s="30"/>
      <c r="I65" s="38" t="e">
        <f>SUM(I36:I64)/D65</f>
        <v>#DIV/0!</v>
      </c>
      <c r="J65" s="30"/>
      <c r="K65" s="33"/>
    </row>
  </sheetData>
  <mergeCells count="12">
    <mergeCell ref="A19:C19"/>
    <mergeCell ref="A31:C31"/>
    <mergeCell ref="A61:C61"/>
    <mergeCell ref="A65:C65"/>
    <mergeCell ref="A2:K2"/>
    <mergeCell ref="A3:A4"/>
    <mergeCell ref="C3:C4"/>
    <mergeCell ref="B3:B4"/>
    <mergeCell ref="E3:E4"/>
    <mergeCell ref="D3:D4"/>
    <mergeCell ref="F3:H3"/>
    <mergeCell ref="I3:K3"/>
  </mergeCells>
  <conditionalFormatting sqref="I5:I62">
    <cfRule type="colorScale" priority="9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9"/>
  <sheetViews>
    <sheetView workbookViewId="0">
      <selection activeCell="A24" sqref="A24:XFD24"/>
    </sheetView>
  </sheetViews>
  <sheetFormatPr baseColWidth="10" defaultRowHeight="12.75" x14ac:dyDescent="0.2"/>
  <cols>
    <col min="2" max="2" width="37.42578125" customWidth="1"/>
    <col min="4" max="4" width="38.28515625" customWidth="1"/>
    <col min="5" max="5" width="2.7109375" bestFit="1" customWidth="1"/>
    <col min="6" max="6" width="15.7109375" customWidth="1"/>
    <col min="7" max="7" width="29.28515625" customWidth="1"/>
  </cols>
  <sheetData>
    <row r="1" spans="1:7" ht="25.5" x14ac:dyDescent="0.35">
      <c r="A1" s="182" t="s">
        <v>88</v>
      </c>
      <c r="B1" s="182"/>
      <c r="C1" s="182"/>
      <c r="D1" s="182"/>
      <c r="E1" s="182"/>
      <c r="F1" s="182"/>
      <c r="G1" s="182"/>
    </row>
    <row r="2" spans="1:7" ht="20.25" x14ac:dyDescent="0.3">
      <c r="A2" s="44"/>
      <c r="B2" s="44"/>
      <c r="C2" s="44"/>
      <c r="D2" s="44"/>
      <c r="E2" s="44"/>
      <c r="F2" s="44"/>
      <c r="G2" s="44"/>
    </row>
    <row r="3" spans="1:7" ht="20.25" x14ac:dyDescent="0.3">
      <c r="A3" s="44"/>
      <c r="B3" s="44"/>
      <c r="C3" s="44"/>
      <c r="D3" s="44"/>
      <c r="E3" s="44"/>
      <c r="F3" s="44"/>
      <c r="G3" s="44"/>
    </row>
    <row r="4" spans="1:7" ht="23.25" x14ac:dyDescent="0.35">
      <c r="A4" s="183" t="s">
        <v>76</v>
      </c>
      <c r="B4" s="183"/>
      <c r="C4" s="183"/>
      <c r="D4" s="183"/>
      <c r="E4" s="183"/>
      <c r="F4" s="183"/>
      <c r="G4" s="183"/>
    </row>
    <row r="5" spans="1:7" ht="20.25" x14ac:dyDescent="0.2">
      <c r="A5" s="184" t="s">
        <v>77</v>
      </c>
      <c r="B5" s="185"/>
      <c r="C5" s="185"/>
      <c r="D5" s="185"/>
      <c r="E5" s="185"/>
      <c r="F5" s="185"/>
      <c r="G5" s="185"/>
    </row>
    <row r="6" spans="1:7" ht="20.25" x14ac:dyDescent="0.3">
      <c r="A6" s="187" t="s">
        <v>78</v>
      </c>
      <c r="B6" s="187"/>
      <c r="C6" s="49"/>
      <c r="D6" s="42" t="s">
        <v>79</v>
      </c>
      <c r="E6" s="49"/>
      <c r="F6" s="42" t="s">
        <v>80</v>
      </c>
      <c r="G6" s="50"/>
    </row>
    <row r="7" spans="1:7" ht="20.25" x14ac:dyDescent="0.3">
      <c r="A7" s="41"/>
      <c r="B7" s="41"/>
      <c r="C7" s="41"/>
      <c r="D7" s="41"/>
      <c r="E7" s="41"/>
      <c r="F7" s="41"/>
      <c r="G7" s="41"/>
    </row>
    <row r="8" spans="1:7" ht="20.25" x14ac:dyDescent="0.3">
      <c r="A8" s="186" t="s">
        <v>81</v>
      </c>
      <c r="B8" s="186"/>
      <c r="C8" s="43"/>
      <c r="D8" s="45"/>
      <c r="E8" s="188" t="s">
        <v>82</v>
      </c>
      <c r="F8" s="188"/>
      <c r="G8" s="51" t="s">
        <v>89</v>
      </c>
    </row>
    <row r="9" spans="1:7" ht="20.25" x14ac:dyDescent="0.3">
      <c r="A9" s="41"/>
      <c r="B9" s="41"/>
      <c r="C9" s="41"/>
      <c r="D9" s="46"/>
      <c r="E9" s="46"/>
      <c r="F9" s="42"/>
      <c r="G9" s="41"/>
    </row>
    <row r="10" spans="1:7" ht="18" x14ac:dyDescent="0.25">
      <c r="A10" s="47" t="s">
        <v>83</v>
      </c>
      <c r="B10" s="181" t="s">
        <v>84</v>
      </c>
      <c r="C10" s="181"/>
      <c r="D10" s="181" t="s">
        <v>85</v>
      </c>
      <c r="E10" s="181"/>
      <c r="F10" s="48" t="s">
        <v>86</v>
      </c>
      <c r="G10" s="48" t="s">
        <v>87</v>
      </c>
    </row>
    <row r="11" spans="1:7" ht="21" x14ac:dyDescent="0.2">
      <c r="A11" s="52">
        <v>1</v>
      </c>
      <c r="B11" s="191"/>
      <c r="C11" s="192"/>
      <c r="D11" s="190"/>
      <c r="E11" s="190"/>
      <c r="F11" s="52"/>
      <c r="G11" s="52"/>
    </row>
    <row r="12" spans="1:7" ht="21" x14ac:dyDescent="0.2">
      <c r="A12" s="52">
        <v>2</v>
      </c>
      <c r="B12" s="191"/>
      <c r="C12" s="192"/>
      <c r="D12" s="190"/>
      <c r="E12" s="190"/>
      <c r="F12" s="52"/>
      <c r="G12" s="52"/>
    </row>
    <row r="13" spans="1:7" ht="21" x14ac:dyDescent="0.2">
      <c r="A13" s="52">
        <v>3</v>
      </c>
      <c r="B13" s="191"/>
      <c r="C13" s="192"/>
      <c r="D13" s="190"/>
      <c r="E13" s="190"/>
      <c r="F13" s="52"/>
      <c r="G13" s="52"/>
    </row>
    <row r="14" spans="1:7" ht="21" x14ac:dyDescent="0.2">
      <c r="A14" s="52">
        <v>4</v>
      </c>
      <c r="B14" s="191"/>
      <c r="C14" s="192"/>
      <c r="D14" s="190"/>
      <c r="E14" s="190"/>
      <c r="F14" s="52"/>
      <c r="G14" s="52"/>
    </row>
    <row r="15" spans="1:7" ht="21" x14ac:dyDescent="0.2">
      <c r="A15" s="52">
        <v>5</v>
      </c>
      <c r="B15" s="191"/>
      <c r="C15" s="192"/>
      <c r="D15" s="190"/>
      <c r="E15" s="190"/>
      <c r="F15" s="52"/>
      <c r="G15" s="52"/>
    </row>
    <row r="16" spans="1:7" ht="21" x14ac:dyDescent="0.2">
      <c r="A16" s="52">
        <v>6</v>
      </c>
      <c r="B16" s="191"/>
      <c r="C16" s="192"/>
      <c r="D16" s="190"/>
      <c r="E16" s="190"/>
      <c r="F16" s="52"/>
      <c r="G16" s="52"/>
    </row>
    <row r="17" spans="1:7" ht="21" x14ac:dyDescent="0.2">
      <c r="A17" s="52">
        <v>7</v>
      </c>
      <c r="B17" s="191"/>
      <c r="C17" s="192"/>
      <c r="D17" s="190"/>
      <c r="E17" s="190"/>
      <c r="F17" s="52"/>
      <c r="G17" s="52"/>
    </row>
    <row r="18" spans="1:7" ht="21" x14ac:dyDescent="0.2">
      <c r="A18" s="52">
        <v>8</v>
      </c>
      <c r="B18" s="191"/>
      <c r="C18" s="192"/>
      <c r="D18" s="190"/>
      <c r="E18" s="190"/>
      <c r="F18" s="52"/>
      <c r="G18" s="52"/>
    </row>
    <row r="19" spans="1:7" ht="21" x14ac:dyDescent="0.2">
      <c r="A19" s="52">
        <v>9</v>
      </c>
      <c r="B19" s="191"/>
      <c r="C19" s="192"/>
      <c r="D19" s="190"/>
      <c r="E19" s="190"/>
      <c r="F19" s="52"/>
      <c r="G19" s="52"/>
    </row>
    <row r="20" spans="1:7" ht="21" x14ac:dyDescent="0.2">
      <c r="A20" s="52">
        <v>10</v>
      </c>
      <c r="B20" s="191"/>
      <c r="C20" s="192"/>
      <c r="D20" s="190"/>
      <c r="E20" s="190"/>
      <c r="F20" s="52"/>
      <c r="G20" s="52"/>
    </row>
    <row r="21" spans="1:7" ht="21" x14ac:dyDescent="0.2">
      <c r="A21" s="52">
        <v>11</v>
      </c>
      <c r="B21" s="191"/>
      <c r="C21" s="192"/>
      <c r="D21" s="190"/>
      <c r="E21" s="190"/>
      <c r="F21" s="52"/>
      <c r="G21" s="52"/>
    </row>
    <row r="22" spans="1:7" ht="21" x14ac:dyDescent="0.2">
      <c r="A22" s="52">
        <v>12</v>
      </c>
      <c r="B22" s="191"/>
      <c r="C22" s="192"/>
      <c r="D22" s="190"/>
      <c r="E22" s="190"/>
      <c r="F22" s="52"/>
      <c r="G22" s="52"/>
    </row>
    <row r="23" spans="1:7" ht="21" x14ac:dyDescent="0.2">
      <c r="A23" s="52">
        <v>13</v>
      </c>
      <c r="B23" s="191"/>
      <c r="C23" s="192"/>
      <c r="D23" s="190"/>
      <c r="E23" s="190"/>
      <c r="F23" s="52"/>
      <c r="G23" s="52"/>
    </row>
    <row r="24" spans="1:7" ht="21" x14ac:dyDescent="0.2">
      <c r="A24" s="52">
        <v>14</v>
      </c>
      <c r="B24" s="191"/>
      <c r="C24" s="192"/>
      <c r="D24" s="190"/>
      <c r="E24" s="190"/>
      <c r="F24" s="52"/>
      <c r="G24" s="52"/>
    </row>
    <row r="25" spans="1:7" ht="20.25" x14ac:dyDescent="0.2">
      <c r="A25" s="52">
        <v>15</v>
      </c>
      <c r="B25" s="191"/>
      <c r="C25" s="192"/>
      <c r="D25" s="189"/>
      <c r="E25" s="189"/>
      <c r="F25" s="52"/>
      <c r="G25" s="52"/>
    </row>
    <row r="26" spans="1:7" ht="20.25" x14ac:dyDescent="0.2">
      <c r="A26" s="52">
        <v>16</v>
      </c>
      <c r="B26" s="191"/>
      <c r="C26" s="192"/>
      <c r="D26" s="189"/>
      <c r="E26" s="189"/>
      <c r="F26" s="52"/>
      <c r="G26" s="52"/>
    </row>
    <row r="27" spans="1:7" ht="20.25" x14ac:dyDescent="0.2">
      <c r="A27" s="52">
        <v>17</v>
      </c>
      <c r="B27" s="191"/>
      <c r="C27" s="192"/>
      <c r="D27" s="189"/>
      <c r="E27" s="189"/>
      <c r="F27" s="52"/>
      <c r="G27" s="52"/>
    </row>
    <row r="28" spans="1:7" ht="20.25" x14ac:dyDescent="0.2">
      <c r="A28" s="52">
        <v>18</v>
      </c>
      <c r="B28" s="191"/>
      <c r="C28" s="192"/>
      <c r="D28" s="189"/>
      <c r="E28" s="189"/>
      <c r="F28" s="52"/>
      <c r="G28" s="52"/>
    </row>
    <row r="29" spans="1:7" ht="20.25" x14ac:dyDescent="0.2">
      <c r="A29" s="52">
        <v>19</v>
      </c>
      <c r="B29" s="191"/>
      <c r="C29" s="192"/>
      <c r="D29" s="189"/>
      <c r="E29" s="189"/>
      <c r="F29" s="52"/>
      <c r="G29" s="52"/>
    </row>
    <row r="30" spans="1:7" ht="20.25" x14ac:dyDescent="0.2">
      <c r="A30" s="52">
        <v>20</v>
      </c>
      <c r="B30" s="191"/>
      <c r="C30" s="192"/>
      <c r="D30" s="189"/>
      <c r="E30" s="189"/>
      <c r="F30" s="52"/>
      <c r="G30" s="52"/>
    </row>
    <row r="31" spans="1:7" ht="20.25" x14ac:dyDescent="0.2">
      <c r="A31" s="52">
        <v>21</v>
      </c>
      <c r="B31" s="191"/>
      <c r="C31" s="192"/>
      <c r="D31" s="189"/>
      <c r="E31" s="189"/>
      <c r="F31" s="52"/>
      <c r="G31" s="52"/>
    </row>
    <row r="32" spans="1:7" ht="20.25" x14ac:dyDescent="0.2">
      <c r="A32" s="52">
        <v>22</v>
      </c>
      <c r="B32" s="191"/>
      <c r="C32" s="192"/>
      <c r="D32" s="189"/>
      <c r="E32" s="189"/>
      <c r="F32" s="52"/>
      <c r="G32" s="52"/>
    </row>
    <row r="33" spans="1:7" ht="20.25" x14ac:dyDescent="0.2">
      <c r="A33" s="52">
        <v>23</v>
      </c>
      <c r="B33" s="191"/>
      <c r="C33" s="192"/>
      <c r="D33" s="189"/>
      <c r="E33" s="189"/>
      <c r="F33" s="52"/>
      <c r="G33" s="52"/>
    </row>
    <row r="34" spans="1:7" ht="20.25" x14ac:dyDescent="0.2">
      <c r="A34" s="52">
        <v>24</v>
      </c>
      <c r="B34" s="191"/>
      <c r="C34" s="192"/>
      <c r="D34" s="189"/>
      <c r="E34" s="189"/>
      <c r="F34" s="52"/>
      <c r="G34" s="52"/>
    </row>
    <row r="35" spans="1:7" ht="20.25" x14ac:dyDescent="0.2">
      <c r="A35" s="52">
        <v>25</v>
      </c>
      <c r="B35" s="191"/>
      <c r="C35" s="192"/>
      <c r="D35" s="189"/>
      <c r="E35" s="189"/>
      <c r="F35" s="52"/>
      <c r="G35" s="52"/>
    </row>
    <row r="36" spans="1:7" ht="20.25" x14ac:dyDescent="0.2">
      <c r="A36" s="52">
        <v>26</v>
      </c>
      <c r="B36" s="189"/>
      <c r="C36" s="189"/>
      <c r="D36" s="189"/>
      <c r="E36" s="189"/>
      <c r="F36" s="52"/>
      <c r="G36" s="52"/>
    </row>
    <row r="37" spans="1:7" ht="20.25" x14ac:dyDescent="0.2">
      <c r="A37" s="52">
        <v>27</v>
      </c>
      <c r="B37" s="189"/>
      <c r="C37" s="189"/>
      <c r="D37" s="189"/>
      <c r="E37" s="189"/>
      <c r="F37" s="52"/>
      <c r="G37" s="52"/>
    </row>
    <row r="38" spans="1:7" ht="20.25" x14ac:dyDescent="0.2">
      <c r="A38" s="52">
        <v>28</v>
      </c>
      <c r="B38" s="189"/>
      <c r="C38" s="189"/>
      <c r="D38" s="189"/>
      <c r="E38" s="189"/>
      <c r="F38" s="52"/>
      <c r="G38" s="52"/>
    </row>
    <row r="39" spans="1:7" ht="20.25" x14ac:dyDescent="0.2">
      <c r="A39" s="52">
        <v>29</v>
      </c>
      <c r="B39" s="189"/>
      <c r="C39" s="189"/>
      <c r="D39" s="189"/>
      <c r="E39" s="189"/>
      <c r="F39" s="52"/>
      <c r="G39" s="52"/>
    </row>
    <row r="40" spans="1:7" ht="20.25" x14ac:dyDescent="0.2">
      <c r="A40" s="52">
        <v>30</v>
      </c>
      <c r="B40" s="189"/>
      <c r="C40" s="189"/>
      <c r="D40" s="189"/>
      <c r="E40" s="189"/>
      <c r="F40" s="52"/>
      <c r="G40" s="52"/>
    </row>
    <row r="41" spans="1:7" ht="20.25" x14ac:dyDescent="0.2">
      <c r="A41" s="52">
        <v>31</v>
      </c>
      <c r="B41" s="189"/>
      <c r="C41" s="189"/>
      <c r="D41" s="189"/>
      <c r="E41" s="189"/>
      <c r="F41" s="52"/>
      <c r="G41" s="52"/>
    </row>
    <row r="42" spans="1:7" ht="20.25" x14ac:dyDescent="0.2">
      <c r="A42" s="52">
        <v>32</v>
      </c>
      <c r="B42" s="189"/>
      <c r="C42" s="189"/>
      <c r="D42" s="189"/>
      <c r="E42" s="189"/>
      <c r="F42" s="52"/>
      <c r="G42" s="52"/>
    </row>
    <row r="43" spans="1:7" ht="20.25" x14ac:dyDescent="0.2">
      <c r="A43" s="52">
        <v>33</v>
      </c>
      <c r="B43" s="189"/>
      <c r="C43" s="189"/>
      <c r="D43" s="189"/>
      <c r="E43" s="189"/>
      <c r="F43" s="52"/>
      <c r="G43" s="52"/>
    </row>
    <row r="44" spans="1:7" ht="20.25" x14ac:dyDescent="0.2">
      <c r="A44" s="52">
        <v>34</v>
      </c>
      <c r="B44" s="189"/>
      <c r="C44" s="189"/>
      <c r="D44" s="189"/>
      <c r="E44" s="189"/>
      <c r="F44" s="52"/>
      <c r="G44" s="52"/>
    </row>
    <row r="45" spans="1:7" ht="20.25" x14ac:dyDescent="0.2">
      <c r="A45" s="52">
        <v>35</v>
      </c>
      <c r="B45" s="189"/>
      <c r="C45" s="189"/>
      <c r="D45" s="189"/>
      <c r="E45" s="189"/>
      <c r="F45" s="52"/>
      <c r="G45" s="52"/>
    </row>
    <row r="46" spans="1:7" ht="20.25" x14ac:dyDescent="0.2">
      <c r="A46" s="52">
        <v>36</v>
      </c>
      <c r="B46" s="189"/>
      <c r="C46" s="189"/>
      <c r="D46" s="189"/>
      <c r="E46" s="189"/>
      <c r="F46" s="52"/>
      <c r="G46" s="52"/>
    </row>
    <row r="47" spans="1:7" ht="20.25" x14ac:dyDescent="0.2">
      <c r="A47" s="52">
        <v>37</v>
      </c>
      <c r="B47" s="189"/>
      <c r="C47" s="189"/>
      <c r="D47" s="189"/>
      <c r="E47" s="189"/>
      <c r="F47" s="52"/>
      <c r="G47" s="52"/>
    </row>
    <row r="48" spans="1:7" ht="20.25" x14ac:dyDescent="0.2">
      <c r="A48" s="52">
        <v>38</v>
      </c>
      <c r="B48" s="189"/>
      <c r="C48" s="189"/>
      <c r="D48" s="189"/>
      <c r="E48" s="189"/>
      <c r="F48" s="52"/>
      <c r="G48" s="52"/>
    </row>
    <row r="49" spans="1:7" ht="20.25" x14ac:dyDescent="0.2">
      <c r="A49" s="52">
        <v>39</v>
      </c>
      <c r="B49" s="189"/>
      <c r="C49" s="189"/>
      <c r="D49" s="189"/>
      <c r="E49" s="189"/>
      <c r="F49" s="52"/>
      <c r="G49" s="52"/>
    </row>
    <row r="50" spans="1:7" ht="20.25" x14ac:dyDescent="0.2">
      <c r="A50" s="52">
        <v>40</v>
      </c>
      <c r="B50" s="189"/>
      <c r="C50" s="189"/>
      <c r="D50" s="189"/>
      <c r="E50" s="189"/>
      <c r="F50" s="52"/>
      <c r="G50" s="52"/>
    </row>
    <row r="51" spans="1:7" ht="20.25" x14ac:dyDescent="0.2">
      <c r="A51" s="52">
        <v>41</v>
      </c>
      <c r="B51" s="189"/>
      <c r="C51" s="189"/>
      <c r="D51" s="189"/>
      <c r="E51" s="189"/>
      <c r="F51" s="52"/>
      <c r="G51" s="52"/>
    </row>
    <row r="52" spans="1:7" ht="20.25" x14ac:dyDescent="0.2">
      <c r="A52" s="52">
        <v>42</v>
      </c>
      <c r="B52" s="189"/>
      <c r="C52" s="189"/>
      <c r="D52" s="189"/>
      <c r="E52" s="189"/>
      <c r="F52" s="52"/>
      <c r="G52" s="52"/>
    </row>
    <row r="53" spans="1:7" ht="20.25" x14ac:dyDescent="0.2">
      <c r="A53" s="52">
        <v>43</v>
      </c>
      <c r="B53" s="189"/>
      <c r="C53" s="189"/>
      <c r="D53" s="189"/>
      <c r="E53" s="189"/>
      <c r="F53" s="52"/>
      <c r="G53" s="52"/>
    </row>
    <row r="54" spans="1:7" ht="20.25" x14ac:dyDescent="0.2">
      <c r="A54" s="52">
        <v>44</v>
      </c>
      <c r="B54" s="189"/>
      <c r="C54" s="189"/>
      <c r="D54" s="189"/>
      <c r="E54" s="189"/>
      <c r="F54" s="52"/>
      <c r="G54" s="52"/>
    </row>
    <row r="55" spans="1:7" ht="20.25" x14ac:dyDescent="0.2">
      <c r="A55" s="52">
        <v>45</v>
      </c>
      <c r="B55" s="189"/>
      <c r="C55" s="189"/>
      <c r="D55" s="189"/>
      <c r="E55" s="189"/>
      <c r="F55" s="52"/>
      <c r="G55" s="52"/>
    </row>
    <row r="56" spans="1:7" ht="20.25" x14ac:dyDescent="0.2">
      <c r="A56" s="52">
        <v>46</v>
      </c>
      <c r="B56" s="189"/>
      <c r="C56" s="189"/>
      <c r="D56" s="189"/>
      <c r="E56" s="189"/>
      <c r="F56" s="52"/>
      <c r="G56" s="52"/>
    </row>
    <row r="57" spans="1:7" ht="20.25" x14ac:dyDescent="0.2">
      <c r="A57" s="52">
        <v>47</v>
      </c>
      <c r="B57" s="189"/>
      <c r="C57" s="189"/>
      <c r="D57" s="189"/>
      <c r="E57" s="189"/>
      <c r="F57" s="52"/>
      <c r="G57" s="52"/>
    </row>
    <row r="58" spans="1:7" ht="20.25" x14ac:dyDescent="0.2">
      <c r="A58" s="52">
        <v>48</v>
      </c>
      <c r="B58" s="189"/>
      <c r="C58" s="189"/>
      <c r="D58" s="189"/>
      <c r="E58" s="189"/>
      <c r="F58" s="52"/>
      <c r="G58" s="52"/>
    </row>
    <row r="59" spans="1:7" ht="20.25" x14ac:dyDescent="0.2">
      <c r="A59" s="52">
        <v>49</v>
      </c>
      <c r="B59" s="189"/>
      <c r="C59" s="189"/>
      <c r="D59" s="189"/>
      <c r="E59" s="189"/>
      <c r="F59" s="52"/>
      <c r="G59" s="52"/>
    </row>
    <row r="60" spans="1:7" ht="20.25" x14ac:dyDescent="0.2">
      <c r="A60" s="52">
        <v>50</v>
      </c>
      <c r="B60" s="189"/>
      <c r="C60" s="189"/>
      <c r="D60" s="189"/>
      <c r="E60" s="189"/>
      <c r="F60" s="52"/>
      <c r="G60" s="52"/>
    </row>
    <row r="61" spans="1:7" ht="20.25" x14ac:dyDescent="0.2">
      <c r="A61" s="52">
        <v>51</v>
      </c>
      <c r="B61" s="189"/>
      <c r="C61" s="189"/>
      <c r="D61" s="189"/>
      <c r="E61" s="189"/>
      <c r="F61" s="52"/>
      <c r="G61" s="52"/>
    </row>
    <row r="62" spans="1:7" ht="20.25" x14ac:dyDescent="0.2">
      <c r="A62" s="52">
        <v>52</v>
      </c>
      <c r="B62" s="189"/>
      <c r="C62" s="189"/>
      <c r="D62" s="189"/>
      <c r="E62" s="189"/>
      <c r="F62" s="52"/>
      <c r="G62" s="52"/>
    </row>
    <row r="63" spans="1:7" ht="20.25" x14ac:dyDescent="0.2">
      <c r="A63" s="52">
        <v>53</v>
      </c>
      <c r="B63" s="189"/>
      <c r="C63" s="189"/>
      <c r="D63" s="189"/>
      <c r="E63" s="189"/>
      <c r="F63" s="52"/>
      <c r="G63" s="52"/>
    </row>
    <row r="64" spans="1:7" ht="20.25" x14ac:dyDescent="0.2">
      <c r="A64" s="52">
        <v>54</v>
      </c>
      <c r="B64" s="189"/>
      <c r="C64" s="189"/>
      <c r="D64" s="189"/>
      <c r="E64" s="189"/>
      <c r="F64" s="52"/>
      <c r="G64" s="52"/>
    </row>
    <row r="65" spans="1:7" ht="20.25" x14ac:dyDescent="0.2">
      <c r="A65" s="52">
        <v>55</v>
      </c>
      <c r="B65" s="189"/>
      <c r="C65" s="189"/>
      <c r="D65" s="193"/>
      <c r="E65" s="194"/>
      <c r="F65" s="52"/>
      <c r="G65" s="52"/>
    </row>
    <row r="66" spans="1:7" ht="20.25" x14ac:dyDescent="0.2">
      <c r="A66" s="52">
        <v>56</v>
      </c>
      <c r="B66" s="189"/>
      <c r="C66" s="189"/>
      <c r="D66" s="193"/>
      <c r="E66" s="194"/>
      <c r="F66" s="52"/>
      <c r="G66" s="52"/>
    </row>
    <row r="67" spans="1:7" ht="20.25" x14ac:dyDescent="0.2">
      <c r="A67" s="52">
        <v>57</v>
      </c>
      <c r="B67" s="189"/>
      <c r="C67" s="189"/>
      <c r="D67" s="193"/>
      <c r="E67" s="194"/>
      <c r="F67" s="52"/>
      <c r="G67" s="52"/>
    </row>
    <row r="68" spans="1:7" ht="20.25" x14ac:dyDescent="0.2">
      <c r="A68" s="52">
        <v>58</v>
      </c>
      <c r="B68" s="189"/>
      <c r="C68" s="189"/>
      <c r="D68" s="193"/>
      <c r="E68" s="194"/>
      <c r="F68" s="52"/>
      <c r="G68" s="52"/>
    </row>
    <row r="69" spans="1:7" ht="20.25" x14ac:dyDescent="0.2">
      <c r="A69" s="52">
        <v>59</v>
      </c>
      <c r="B69" s="189"/>
      <c r="C69" s="189"/>
      <c r="D69" s="193"/>
      <c r="E69" s="194"/>
      <c r="F69" s="52"/>
      <c r="G69" s="52"/>
    </row>
    <row r="70" spans="1:7" ht="20.25" x14ac:dyDescent="0.2">
      <c r="A70" s="52">
        <v>60</v>
      </c>
      <c r="B70" s="189"/>
      <c r="C70" s="189"/>
      <c r="D70" s="193"/>
      <c r="E70" s="194"/>
      <c r="F70" s="52"/>
      <c r="G70" s="52"/>
    </row>
    <row r="71" spans="1:7" ht="20.25" x14ac:dyDescent="0.2">
      <c r="A71" s="52">
        <v>61</v>
      </c>
      <c r="B71" s="189"/>
      <c r="C71" s="189"/>
      <c r="D71" s="193"/>
      <c r="E71" s="194"/>
      <c r="F71" s="52"/>
      <c r="G71" s="52"/>
    </row>
    <row r="72" spans="1:7" ht="20.25" x14ac:dyDescent="0.2">
      <c r="A72" s="52">
        <v>62</v>
      </c>
      <c r="B72" s="189"/>
      <c r="C72" s="189"/>
      <c r="D72" s="193"/>
      <c r="E72" s="194"/>
      <c r="F72" s="52"/>
      <c r="G72" s="52"/>
    </row>
    <row r="73" spans="1:7" ht="20.25" x14ac:dyDescent="0.2">
      <c r="A73" s="52">
        <v>63</v>
      </c>
      <c r="B73" s="189"/>
      <c r="C73" s="189"/>
      <c r="D73" s="193"/>
      <c r="E73" s="194"/>
      <c r="F73" s="52"/>
      <c r="G73" s="52"/>
    </row>
    <row r="74" spans="1:7" ht="20.25" x14ac:dyDescent="0.2">
      <c r="A74" s="52">
        <v>64</v>
      </c>
      <c r="B74" s="189"/>
      <c r="C74" s="189"/>
      <c r="D74" s="193"/>
      <c r="E74" s="194"/>
      <c r="F74" s="52"/>
      <c r="G74" s="52"/>
    </row>
    <row r="75" spans="1:7" ht="20.25" x14ac:dyDescent="0.2">
      <c r="A75" s="52">
        <v>65</v>
      </c>
      <c r="B75" s="189"/>
      <c r="C75" s="189"/>
      <c r="D75" s="193"/>
      <c r="E75" s="194"/>
      <c r="F75" s="52"/>
      <c r="G75" s="52"/>
    </row>
    <row r="76" spans="1:7" ht="20.25" x14ac:dyDescent="0.2">
      <c r="A76" s="52">
        <v>66</v>
      </c>
      <c r="B76" s="189"/>
      <c r="C76" s="189"/>
      <c r="D76" s="193"/>
      <c r="E76" s="194"/>
      <c r="F76" s="52"/>
      <c r="G76" s="52"/>
    </row>
    <row r="77" spans="1:7" ht="20.25" x14ac:dyDescent="0.2">
      <c r="A77" s="52">
        <v>67</v>
      </c>
      <c r="B77" s="189"/>
      <c r="C77" s="189"/>
      <c r="D77" s="193"/>
      <c r="E77" s="194"/>
      <c r="F77" s="52"/>
      <c r="G77" s="52"/>
    </row>
    <row r="78" spans="1:7" ht="20.25" x14ac:dyDescent="0.2">
      <c r="A78" s="52">
        <v>68</v>
      </c>
      <c r="B78" s="189"/>
      <c r="C78" s="189"/>
      <c r="D78" s="193"/>
      <c r="E78" s="194"/>
      <c r="F78" s="52"/>
      <c r="G78" s="52"/>
    </row>
    <row r="79" spans="1:7" ht="20.25" x14ac:dyDescent="0.2">
      <c r="A79" s="52">
        <v>69</v>
      </c>
      <c r="B79" s="189"/>
      <c r="C79" s="189"/>
      <c r="D79" s="193"/>
      <c r="E79" s="194"/>
      <c r="F79" s="52"/>
      <c r="G79" s="52"/>
    </row>
    <row r="80" spans="1:7" ht="20.25" x14ac:dyDescent="0.2">
      <c r="A80" s="52">
        <v>70</v>
      </c>
      <c r="B80" s="189"/>
      <c r="C80" s="189"/>
      <c r="D80" s="193"/>
      <c r="E80" s="194"/>
      <c r="F80" s="52"/>
      <c r="G80" s="52"/>
    </row>
    <row r="81" spans="1:7" ht="20.25" x14ac:dyDescent="0.2">
      <c r="A81" s="52">
        <v>71</v>
      </c>
      <c r="B81" s="189"/>
      <c r="C81" s="189"/>
      <c r="D81" s="193"/>
      <c r="E81" s="194"/>
      <c r="F81" s="52"/>
      <c r="G81" s="52"/>
    </row>
    <row r="82" spans="1:7" ht="20.25" x14ac:dyDescent="0.2">
      <c r="A82" s="52">
        <v>72</v>
      </c>
      <c r="B82" s="189"/>
      <c r="C82" s="189"/>
      <c r="D82" s="193"/>
      <c r="E82" s="194"/>
      <c r="F82" s="52"/>
      <c r="G82" s="52"/>
    </row>
    <row r="83" spans="1:7" ht="20.25" x14ac:dyDescent="0.2">
      <c r="A83" s="52">
        <v>73</v>
      </c>
      <c r="B83" s="189"/>
      <c r="C83" s="189"/>
      <c r="D83" s="193"/>
      <c r="E83" s="194"/>
      <c r="F83" s="52"/>
      <c r="G83" s="52"/>
    </row>
    <row r="84" spans="1:7" ht="20.25" x14ac:dyDescent="0.2">
      <c r="A84" s="52">
        <v>74</v>
      </c>
      <c r="B84" s="189"/>
      <c r="C84" s="189"/>
      <c r="D84" s="193"/>
      <c r="E84" s="194"/>
      <c r="F84" s="52"/>
      <c r="G84" s="52"/>
    </row>
    <row r="85" spans="1:7" ht="20.25" x14ac:dyDescent="0.2">
      <c r="A85" s="52">
        <v>75</v>
      </c>
      <c r="B85" s="189"/>
      <c r="C85" s="189"/>
      <c r="D85" s="193"/>
      <c r="E85" s="194"/>
      <c r="F85" s="52"/>
      <c r="G85" s="52"/>
    </row>
    <row r="86" spans="1:7" ht="20.25" x14ac:dyDescent="0.2">
      <c r="A86" s="52">
        <v>76</v>
      </c>
      <c r="B86" s="189"/>
      <c r="C86" s="189"/>
      <c r="D86" s="193"/>
      <c r="E86" s="194"/>
      <c r="F86" s="52"/>
      <c r="G86" s="52"/>
    </row>
    <row r="87" spans="1:7" ht="20.25" x14ac:dyDescent="0.2">
      <c r="A87" s="52">
        <v>77</v>
      </c>
      <c r="B87" s="189"/>
      <c r="C87" s="189"/>
      <c r="D87" s="193"/>
      <c r="E87" s="194"/>
      <c r="F87" s="52"/>
      <c r="G87" s="52"/>
    </row>
    <row r="88" spans="1:7" ht="20.25" x14ac:dyDescent="0.2">
      <c r="A88" s="52">
        <v>78</v>
      </c>
      <c r="B88" s="189"/>
      <c r="C88" s="189"/>
      <c r="D88" s="193"/>
      <c r="E88" s="194"/>
      <c r="F88" s="52"/>
      <c r="G88" s="52"/>
    </row>
    <row r="89" spans="1:7" ht="21" x14ac:dyDescent="0.2">
      <c r="A89" s="52">
        <v>79</v>
      </c>
      <c r="B89" s="189"/>
      <c r="C89" s="189"/>
      <c r="D89" s="190"/>
      <c r="E89" s="190"/>
      <c r="F89" s="52"/>
      <c r="G89" s="52"/>
    </row>
    <row r="90" spans="1:7" ht="21" x14ac:dyDescent="0.2">
      <c r="A90" s="52">
        <v>80</v>
      </c>
      <c r="B90" s="189"/>
      <c r="C90" s="189"/>
      <c r="D90" s="190"/>
      <c r="E90" s="190"/>
      <c r="F90" s="52"/>
      <c r="G90" s="52"/>
    </row>
    <row r="91" spans="1:7" ht="21" x14ac:dyDescent="0.2">
      <c r="A91" s="52">
        <v>81</v>
      </c>
      <c r="B91" s="189"/>
      <c r="C91" s="189"/>
      <c r="D91" s="190"/>
      <c r="E91" s="190"/>
      <c r="F91" s="52"/>
      <c r="G91" s="52"/>
    </row>
    <row r="92" spans="1:7" ht="21" x14ac:dyDescent="0.2">
      <c r="A92" s="52">
        <v>82</v>
      </c>
      <c r="B92" s="189"/>
      <c r="C92" s="189"/>
      <c r="D92" s="190"/>
      <c r="E92" s="190"/>
      <c r="F92" s="52"/>
      <c r="G92" s="52"/>
    </row>
    <row r="93" spans="1:7" ht="21" x14ac:dyDescent="0.2">
      <c r="A93" s="52">
        <v>83</v>
      </c>
      <c r="B93" s="189"/>
      <c r="C93" s="189"/>
      <c r="D93" s="190"/>
      <c r="E93" s="190"/>
      <c r="F93" s="52"/>
      <c r="G93" s="52"/>
    </row>
    <row r="94" spans="1:7" ht="21" x14ac:dyDescent="0.2">
      <c r="A94" s="52">
        <v>84</v>
      </c>
      <c r="B94" s="189"/>
      <c r="C94" s="189"/>
      <c r="D94" s="190"/>
      <c r="E94" s="190"/>
      <c r="F94" s="52"/>
      <c r="G94" s="52"/>
    </row>
    <row r="95" spans="1:7" ht="21" x14ac:dyDescent="0.2">
      <c r="A95" s="52">
        <v>85</v>
      </c>
      <c r="B95" s="189"/>
      <c r="C95" s="189"/>
      <c r="D95" s="190"/>
      <c r="E95" s="190"/>
      <c r="F95" s="52"/>
      <c r="G95" s="52"/>
    </row>
    <row r="96" spans="1:7" ht="21" x14ac:dyDescent="0.2">
      <c r="A96" s="52">
        <v>86</v>
      </c>
      <c r="B96" s="189"/>
      <c r="C96" s="189"/>
      <c r="D96" s="190"/>
      <c r="E96" s="190"/>
      <c r="F96" s="52"/>
      <c r="G96" s="52"/>
    </row>
    <row r="97" spans="1:7" ht="21" x14ac:dyDescent="0.2">
      <c r="A97" s="52">
        <v>87</v>
      </c>
      <c r="B97" s="189"/>
      <c r="C97" s="189"/>
      <c r="D97" s="190"/>
      <c r="E97" s="190"/>
      <c r="F97" s="52"/>
      <c r="G97" s="52"/>
    </row>
    <row r="98" spans="1:7" ht="21" x14ac:dyDescent="0.2">
      <c r="A98" s="52">
        <v>88</v>
      </c>
      <c r="B98" s="189"/>
      <c r="C98" s="189"/>
      <c r="D98" s="190"/>
      <c r="E98" s="190"/>
      <c r="F98" s="52"/>
      <c r="G98" s="52"/>
    </row>
    <row r="99" spans="1:7" ht="21" x14ac:dyDescent="0.2">
      <c r="A99" s="52">
        <v>89</v>
      </c>
      <c r="B99" s="189"/>
      <c r="C99" s="189"/>
      <c r="D99" s="190"/>
      <c r="E99" s="190"/>
      <c r="F99" s="52"/>
      <c r="G99" s="52"/>
    </row>
    <row r="100" spans="1:7" ht="21" x14ac:dyDescent="0.2">
      <c r="A100" s="52">
        <v>90</v>
      </c>
      <c r="B100" s="189"/>
      <c r="C100" s="189"/>
      <c r="D100" s="190"/>
      <c r="E100" s="190"/>
      <c r="F100" s="52"/>
      <c r="G100" s="52"/>
    </row>
    <row r="101" spans="1:7" ht="21" x14ac:dyDescent="0.2">
      <c r="A101" s="52">
        <v>91</v>
      </c>
      <c r="B101" s="189"/>
      <c r="C101" s="189"/>
      <c r="D101" s="190"/>
      <c r="E101" s="190"/>
      <c r="F101" s="52"/>
      <c r="G101" s="52"/>
    </row>
    <row r="102" spans="1:7" ht="21" x14ac:dyDescent="0.2">
      <c r="A102" s="52">
        <v>92</v>
      </c>
      <c r="B102" s="189"/>
      <c r="C102" s="189"/>
      <c r="D102" s="190"/>
      <c r="E102" s="190"/>
      <c r="F102" s="52"/>
      <c r="G102" s="52"/>
    </row>
    <row r="103" spans="1:7" ht="21" x14ac:dyDescent="0.2">
      <c r="A103" s="52">
        <v>93</v>
      </c>
      <c r="B103" s="189"/>
      <c r="C103" s="189"/>
      <c r="D103" s="190"/>
      <c r="E103" s="190"/>
      <c r="F103" s="52"/>
      <c r="G103" s="52"/>
    </row>
    <row r="104" spans="1:7" ht="21" x14ac:dyDescent="0.2">
      <c r="A104" s="52">
        <v>94</v>
      </c>
      <c r="B104" s="189"/>
      <c r="C104" s="189"/>
      <c r="D104" s="190"/>
      <c r="E104" s="190"/>
      <c r="F104" s="52"/>
      <c r="G104" s="52"/>
    </row>
    <row r="105" spans="1:7" ht="21" x14ac:dyDescent="0.2">
      <c r="A105" s="52">
        <v>95</v>
      </c>
      <c r="B105" s="189"/>
      <c r="C105" s="189"/>
      <c r="D105" s="190"/>
      <c r="E105" s="190"/>
      <c r="F105" s="52"/>
      <c r="G105" s="52"/>
    </row>
    <row r="106" spans="1:7" ht="21" x14ac:dyDescent="0.2">
      <c r="A106" s="52">
        <v>96</v>
      </c>
      <c r="B106" s="189"/>
      <c r="C106" s="189"/>
      <c r="D106" s="190"/>
      <c r="E106" s="190"/>
      <c r="F106" s="52"/>
      <c r="G106" s="52"/>
    </row>
    <row r="107" spans="1:7" ht="21" x14ac:dyDescent="0.2">
      <c r="A107" s="52">
        <v>97</v>
      </c>
      <c r="B107" s="189"/>
      <c r="C107" s="189"/>
      <c r="D107" s="190"/>
      <c r="E107" s="190"/>
      <c r="F107" s="52"/>
      <c r="G107" s="52"/>
    </row>
    <row r="108" spans="1:7" ht="21" x14ac:dyDescent="0.2">
      <c r="A108" s="52">
        <v>98</v>
      </c>
      <c r="B108" s="189"/>
      <c r="C108" s="189"/>
      <c r="D108" s="190"/>
      <c r="E108" s="190"/>
      <c r="F108" s="52"/>
      <c r="G108" s="52"/>
    </row>
    <row r="109" spans="1:7" ht="21" x14ac:dyDescent="0.2">
      <c r="A109" s="52">
        <v>99</v>
      </c>
      <c r="B109" s="189"/>
      <c r="C109" s="189"/>
      <c r="D109" s="190"/>
      <c r="E109" s="190"/>
      <c r="F109" s="52"/>
      <c r="G109" s="52"/>
    </row>
  </sheetData>
  <mergeCells count="206">
    <mergeCell ref="B108:C108"/>
    <mergeCell ref="D108:E108"/>
    <mergeCell ref="B109:C109"/>
    <mergeCell ref="D109:E109"/>
    <mergeCell ref="B99:C99"/>
    <mergeCell ref="D99:E99"/>
    <mergeCell ref="B100:C100"/>
    <mergeCell ref="D100:E100"/>
    <mergeCell ref="B101:C101"/>
    <mergeCell ref="D101:E101"/>
    <mergeCell ref="B102:C102"/>
    <mergeCell ref="D102:E102"/>
    <mergeCell ref="B103:C103"/>
    <mergeCell ref="D103:E103"/>
    <mergeCell ref="B104:C104"/>
    <mergeCell ref="D104:E104"/>
    <mergeCell ref="B106:C106"/>
    <mergeCell ref="D106:E106"/>
    <mergeCell ref="B107:C107"/>
    <mergeCell ref="D107:E107"/>
    <mergeCell ref="B105:C105"/>
    <mergeCell ref="D105:E105"/>
    <mergeCell ref="B81:C81"/>
    <mergeCell ref="D81:E81"/>
    <mergeCell ref="B82:C82"/>
    <mergeCell ref="D82:E82"/>
    <mergeCell ref="B83:C83"/>
    <mergeCell ref="D83:E83"/>
    <mergeCell ref="B84:C84"/>
    <mergeCell ref="D84:E84"/>
    <mergeCell ref="D90:E90"/>
    <mergeCell ref="B90:C90"/>
    <mergeCell ref="B98:C98"/>
    <mergeCell ref="D98:E98"/>
    <mergeCell ref="B93:C93"/>
    <mergeCell ref="D93:E93"/>
    <mergeCell ref="B94:C94"/>
    <mergeCell ref="D94:E94"/>
    <mergeCell ref="B95:C95"/>
    <mergeCell ref="D95:E95"/>
    <mergeCell ref="B85:C85"/>
    <mergeCell ref="D85:E85"/>
    <mergeCell ref="B91:C91"/>
    <mergeCell ref="D91:E91"/>
    <mergeCell ref="B92:C92"/>
    <mergeCell ref="D92:E92"/>
    <mergeCell ref="B96:C96"/>
    <mergeCell ref="D96:E96"/>
    <mergeCell ref="B97:C97"/>
    <mergeCell ref="D97:E97"/>
    <mergeCell ref="D65:E65"/>
    <mergeCell ref="B65:C65"/>
    <mergeCell ref="B66:C66"/>
    <mergeCell ref="D66:E66"/>
    <mergeCell ref="B67:C67"/>
    <mergeCell ref="D67:E67"/>
    <mergeCell ref="B68:C68"/>
    <mergeCell ref="D68:E68"/>
    <mergeCell ref="B69:C69"/>
    <mergeCell ref="D69:E69"/>
    <mergeCell ref="B70:C70"/>
    <mergeCell ref="D70:E70"/>
    <mergeCell ref="D72:E72"/>
    <mergeCell ref="B73:C73"/>
    <mergeCell ref="D73:E73"/>
    <mergeCell ref="B74:C74"/>
    <mergeCell ref="D74:E74"/>
    <mergeCell ref="B71:C71"/>
    <mergeCell ref="B80:C80"/>
    <mergeCell ref="D80:E80"/>
    <mergeCell ref="D71:E71"/>
    <mergeCell ref="B72:C72"/>
    <mergeCell ref="B75:C75"/>
    <mergeCell ref="D75:E75"/>
    <mergeCell ref="B76:C76"/>
    <mergeCell ref="D76:E76"/>
    <mergeCell ref="B60:C60"/>
    <mergeCell ref="D60:E60"/>
    <mergeCell ref="B61:C61"/>
    <mergeCell ref="D61:E61"/>
    <mergeCell ref="B89:C89"/>
    <mergeCell ref="D89:E89"/>
    <mergeCell ref="B86:C86"/>
    <mergeCell ref="D86:E86"/>
    <mergeCell ref="B87:C87"/>
    <mergeCell ref="D87:E87"/>
    <mergeCell ref="B62:C62"/>
    <mergeCell ref="D62:E62"/>
    <mergeCell ref="B63:C63"/>
    <mergeCell ref="D63:E63"/>
    <mergeCell ref="B64:C64"/>
    <mergeCell ref="D64:E64"/>
    <mergeCell ref="B88:C88"/>
    <mergeCell ref="D88:E88"/>
    <mergeCell ref="B77:C77"/>
    <mergeCell ref="D77:E77"/>
    <mergeCell ref="B78:C78"/>
    <mergeCell ref="D78:E78"/>
    <mergeCell ref="B79:C79"/>
    <mergeCell ref="D79:E79"/>
    <mergeCell ref="B55:C55"/>
    <mergeCell ref="D55:E55"/>
    <mergeCell ref="B56:C56"/>
    <mergeCell ref="D56:E56"/>
    <mergeCell ref="B57:C57"/>
    <mergeCell ref="D57:E57"/>
    <mergeCell ref="B58:C58"/>
    <mergeCell ref="D58:E58"/>
    <mergeCell ref="B59:C59"/>
    <mergeCell ref="D59:E59"/>
    <mergeCell ref="B50:C50"/>
    <mergeCell ref="D50:E50"/>
    <mergeCell ref="B51:C51"/>
    <mergeCell ref="D51:E51"/>
    <mergeCell ref="B52:C52"/>
    <mergeCell ref="D52:E52"/>
    <mergeCell ref="B53:C53"/>
    <mergeCell ref="D53:E53"/>
    <mergeCell ref="B54:C54"/>
    <mergeCell ref="D54:E54"/>
    <mergeCell ref="B45:C45"/>
    <mergeCell ref="D45:E45"/>
    <mergeCell ref="B46:C46"/>
    <mergeCell ref="D46:E46"/>
    <mergeCell ref="B47:C47"/>
    <mergeCell ref="D47:E47"/>
    <mergeCell ref="B48:C48"/>
    <mergeCell ref="D48:E48"/>
    <mergeCell ref="B49:C49"/>
    <mergeCell ref="D49:E49"/>
    <mergeCell ref="B40:C40"/>
    <mergeCell ref="D40:E40"/>
    <mergeCell ref="B41:C41"/>
    <mergeCell ref="D41:E41"/>
    <mergeCell ref="B42:C42"/>
    <mergeCell ref="D42:E42"/>
    <mergeCell ref="B43:C43"/>
    <mergeCell ref="D43:E43"/>
    <mergeCell ref="B44:C44"/>
    <mergeCell ref="D44:E44"/>
    <mergeCell ref="D21:E21"/>
    <mergeCell ref="B22:C22"/>
    <mergeCell ref="D22:E22"/>
    <mergeCell ref="B37:C37"/>
    <mergeCell ref="D37:E37"/>
    <mergeCell ref="B38:C38"/>
    <mergeCell ref="D38:E38"/>
    <mergeCell ref="B39:C39"/>
    <mergeCell ref="D39:E39"/>
    <mergeCell ref="B34:C34"/>
    <mergeCell ref="B35:C35"/>
    <mergeCell ref="B31:C31"/>
    <mergeCell ref="B32:C32"/>
    <mergeCell ref="B33:C33"/>
    <mergeCell ref="B28:C28"/>
    <mergeCell ref="B29:C29"/>
    <mergeCell ref="B30:C30"/>
    <mergeCell ref="B25:C25"/>
    <mergeCell ref="B14:C14"/>
    <mergeCell ref="D14:E14"/>
    <mergeCell ref="B15:C15"/>
    <mergeCell ref="D15:E15"/>
    <mergeCell ref="B16:C16"/>
    <mergeCell ref="D16:E16"/>
    <mergeCell ref="B26:C26"/>
    <mergeCell ref="B27:C27"/>
    <mergeCell ref="D25:E25"/>
    <mergeCell ref="D26:E26"/>
    <mergeCell ref="D27:E27"/>
    <mergeCell ref="B17:C17"/>
    <mergeCell ref="D17:E17"/>
    <mergeCell ref="B18:C18"/>
    <mergeCell ref="D18:E18"/>
    <mergeCell ref="B19:C19"/>
    <mergeCell ref="D19:E19"/>
    <mergeCell ref="B24:C24"/>
    <mergeCell ref="D24:E24"/>
    <mergeCell ref="B23:C23"/>
    <mergeCell ref="D23:E23"/>
    <mergeCell ref="B20:C20"/>
    <mergeCell ref="D20:E20"/>
    <mergeCell ref="B21:C21"/>
    <mergeCell ref="D10:E10"/>
    <mergeCell ref="A1:G1"/>
    <mergeCell ref="A4:G4"/>
    <mergeCell ref="B10:C10"/>
    <mergeCell ref="A5:G5"/>
    <mergeCell ref="A8:B8"/>
    <mergeCell ref="A6:B6"/>
    <mergeCell ref="E8:F8"/>
    <mergeCell ref="B36:C36"/>
    <mergeCell ref="D36:E36"/>
    <mergeCell ref="D11:E11"/>
    <mergeCell ref="B11:C11"/>
    <mergeCell ref="B12:C12"/>
    <mergeCell ref="D12:E12"/>
    <mergeCell ref="B13:C13"/>
    <mergeCell ref="D13:E13"/>
    <mergeCell ref="D34:E34"/>
    <mergeCell ref="D35:E35"/>
    <mergeCell ref="D31:E31"/>
    <mergeCell ref="D32:E32"/>
    <mergeCell ref="D33:E33"/>
    <mergeCell ref="D28:E28"/>
    <mergeCell ref="D29:E29"/>
    <mergeCell ref="D30:E3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d4ea72f7-698a-4710-9b83-5c5b7609dc8a">PJHJ36CWT4ZF-97-6373</_dlc_DocId>
    <_dlc_DocIdUrl xmlns="d4ea72f7-698a-4710-9b83-5c5b7609dc8a">
      <Url>http://intranet.itguardian.com.mx/Calidad/_layouts/DocIdRedir.aspx?ID=PJHJ36CWT4ZF-97-6373</Url>
      <Description>PJHJ36CWT4ZF-97-6373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8DB2D399C8AD4BAAAAFF52CCD54D7A" ma:contentTypeVersion="0" ma:contentTypeDescription="Crear nuevo documento." ma:contentTypeScope="" ma:versionID="6f5250e81cb3a8914aa284c5434f391a">
  <xsd:schema xmlns:xsd="http://www.w3.org/2001/XMLSchema" xmlns:xs="http://www.w3.org/2001/XMLSchema" xmlns:p="http://schemas.microsoft.com/office/2006/metadata/properties" xmlns:ns2="d4ea72f7-698a-4710-9b83-5c5b7609dc8a" targetNamespace="http://schemas.microsoft.com/office/2006/metadata/properties" ma:root="true" ma:fieldsID="4e339b20546a0314c9f5729d075ba64a" ns2:_="">
    <xsd:import namespace="d4ea72f7-698a-4710-9b83-5c5b7609dc8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a72f7-698a-4710-9b83-5c5b7609dc8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entificador persistente" ma:description="Mantener el identificador al agregar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B71567-3370-4945-A420-85B502E4E7EF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D4FC1A81-9E6B-41C7-9F3D-FADA198D602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185E0A-896A-4DE9-8F71-746092AC2565}">
  <ds:schemaRefs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d4ea72f7-698a-4710-9b83-5c5b7609dc8a"/>
    <ds:schemaRef ds:uri="http://schemas.microsoft.com/office/2006/metadata/properties"/>
    <ds:schemaRef ds:uri="http://schemas.openxmlformats.org/package/2006/metadata/core-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B31DDFC6-AD0F-4E04-971E-D8C4E1D4B6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ea72f7-698a-4710-9b83-5c5b7609d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Proceso de Apoyo</vt:lpstr>
      <vt:lpstr>RECLUTAMIENTO, CAPA Y EVAL</vt:lpstr>
      <vt:lpstr>capacitacion </vt:lpstr>
      <vt:lpstr>'Proceso de Apoyo'!Títulos_a_imprimir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Ricardo Sánchez Sánchez</dc:creator>
  <cp:lastModifiedBy>PALACIOS MARTINEZ DANIEL</cp:lastModifiedBy>
  <cp:lastPrinted>2020-09-25T18:58:28Z</cp:lastPrinted>
  <dcterms:created xsi:type="dcterms:W3CDTF">2017-02-09T16:44:50Z</dcterms:created>
  <dcterms:modified xsi:type="dcterms:W3CDTF">2020-09-25T18:58:38Z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0x010100E38DB2D399C8AD4BAAAAFF52CCD54D7A</vt:lpwstr>
  </property>
  <property fmtid="{D5CDD505-2E9C-101B-9397-08002B2CF9AE}" pid="3" name="_dlc_DocIdItemGuid">
    <vt:lpwstr>c437e133-8383-47ca-8925-3c16fbcdbf98</vt:lpwstr>
  </property>
</Properties>
</file>