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C:\Users\jorge.olvera\OneDrive - Instituto Nacional Electoral\SGC DocRev15jul20\6. Planificación\"/>
    </mc:Choice>
  </mc:AlternateContent>
  <xr:revisionPtr revIDLastSave="20" documentId="11_3A661A492782C9B2D3FDEC2E214C1259F2AEC153" xr6:coauthVersionLast="44" xr6:coauthVersionMax="44" xr10:uidLastSave="{F9AAF297-C609-44F3-895D-2FEB76210B8D}"/>
  <bookViews>
    <workbookView xWindow="-108" yWindow="-108" windowWidth="23256" windowHeight="12576" tabRatio="689" xr2:uid="{00000000-000D-0000-FFFF-FFFF00000000}"/>
  </bookViews>
  <sheets>
    <sheet name="Objetivos de la Calidad" sheetId="6" r:id="rId1"/>
  </sheets>
  <definedNames>
    <definedName name="_xlnm.Print_Titles" localSheetId="0">'Objetivos de la Calidad'!$1:$3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15" i="6" l="1"/>
  <c r="I23" i="6"/>
  <c r="J23" i="6"/>
  <c r="K23" i="6"/>
  <c r="L23" i="6"/>
  <c r="M23" i="6"/>
  <c r="N23" i="6"/>
  <c r="O23" i="6"/>
  <c r="P23" i="6"/>
  <c r="Q23" i="6"/>
  <c r="R23" i="6"/>
  <c r="S23" i="6"/>
  <c r="T23" i="6"/>
  <c r="H23" i="6"/>
  <c r="G24" i="6" s="1"/>
  <c r="U8" i="6" l="1"/>
  <c r="G18" i="6" l="1"/>
  <c r="U18" i="6" s="1"/>
  <c r="G16" i="6"/>
  <c r="U15" i="6"/>
  <c r="U16" i="6"/>
  <c r="U11" i="6"/>
  <c r="U9" i="6"/>
  <c r="G34" i="6" s="1"/>
  <c r="U12" i="6" l="1"/>
  <c r="U23" i="6" l="1"/>
  <c r="G48" i="6" s="1"/>
  <c r="G41" i="6"/>
  <c r="G43" i="6" l="1"/>
  <c r="G33" i="6"/>
  <c r="G35" i="6"/>
  <c r="G37" i="6"/>
  <c r="G38" i="6"/>
  <c r="G21" i="6" l="1"/>
  <c r="G40" i="6"/>
  <c r="U20" i="6" l="1"/>
  <c r="G45" i="6" s="1"/>
</calcChain>
</file>

<file path=xl/sharedStrings.xml><?xml version="1.0" encoding="utf-8"?>
<sst xmlns="http://schemas.openxmlformats.org/spreadsheetml/2006/main" count="117" uniqueCount="71">
  <si>
    <t>Resultados Mensuales</t>
  </si>
  <si>
    <t>Ene</t>
  </si>
  <si>
    <t>Feb</t>
  </si>
  <si>
    <t>Mar</t>
  </si>
  <si>
    <t>Abr</t>
  </si>
  <si>
    <t>May</t>
  </si>
  <si>
    <t>Jun</t>
  </si>
  <si>
    <t>Jul</t>
  </si>
  <si>
    <t>Ago</t>
  </si>
  <si>
    <t>Sep</t>
  </si>
  <si>
    <t>Oct</t>
  </si>
  <si>
    <t>Nov</t>
  </si>
  <si>
    <t>Dic</t>
  </si>
  <si>
    <t>Brindar el servicio en todos los Módulos de Atención Ciudadana autorizados en el estado, conforme al calendario de operación de Módulos de Atención Ciudadana de la campaña de actualización en turno.</t>
  </si>
  <si>
    <t>Promover la inscripción de jóvenes al Padrón Electoral.</t>
  </si>
  <si>
    <t>Porcentaje de días operados durante la campaña</t>
  </si>
  <si>
    <t>Porcentaje de encuestas realizadas</t>
  </si>
  <si>
    <t>Por Campaña</t>
  </si>
  <si>
    <t>a) Porcentajes de Trámites realizados</t>
  </si>
  <si>
    <t>Objetivo</t>
  </si>
  <si>
    <t>Número</t>
  </si>
  <si>
    <t>Mantener el servicio a domicilio, acorde a lo que establece el Artículo 141 de la Ley General de Instituciones y Procedimientos Electorales.</t>
  </si>
  <si>
    <t>Indicador</t>
  </si>
  <si>
    <t xml:space="preserve">Periodo </t>
  </si>
  <si>
    <t>Cálculo</t>
  </si>
  <si>
    <t>DESCRIPCIÓN</t>
  </si>
  <si>
    <t>MEDICIÓN</t>
  </si>
  <si>
    <t>(Total de trámites realizados por campaña / Total de trámites establecidos en el pronóstico para la campaña) *100</t>
  </si>
  <si>
    <t>(Total de registros renovados reporte actual / Total de registros renovados reporte anterior) *100</t>
  </si>
  <si>
    <t>Estimado</t>
  </si>
  <si>
    <r>
      <rPr>
        <b/>
        <sz val="8"/>
        <color theme="1"/>
        <rFont val="Arial"/>
        <family val="2"/>
      </rPr>
      <t>Módulos con doble turno:</t>
    </r>
    <r>
      <rPr>
        <sz val="8"/>
        <color theme="1"/>
        <rFont val="Arial"/>
        <family val="2"/>
      </rPr>
      <t xml:space="preserve"> (Productividad promedio de atenciones de la semana operativa por estación de trabajo / 121) *100</t>
    </r>
  </si>
  <si>
    <r>
      <rPr>
        <b/>
        <sz val="8"/>
        <color theme="1"/>
        <rFont val="Arial"/>
        <family val="2"/>
      </rPr>
      <t xml:space="preserve">Módulos con un turno: </t>
    </r>
    <r>
      <rPr>
        <sz val="8"/>
        <color theme="1"/>
        <rFont val="Arial"/>
        <family val="2"/>
      </rPr>
      <t>(Productividad promedio de atenciones de la semana operativa por estación de trabajo / 71) *99</t>
    </r>
  </si>
  <si>
    <t>(Días operados / Días operativos) *100</t>
  </si>
  <si>
    <t>(Total de inscripciones en el periodo actual / Días operativos) *100</t>
  </si>
  <si>
    <t>% AVANCE REGISTRADO</t>
  </si>
  <si>
    <t>Nominativo</t>
  </si>
  <si>
    <t>b) Porcentaje de reemplazo de Credenciales no vigentes (18)</t>
  </si>
  <si>
    <t xml:space="preserve">Media </t>
  </si>
  <si>
    <t>Media</t>
  </si>
  <si>
    <t>Entrevistas previstas</t>
  </si>
  <si>
    <t>CAI 2019</t>
  </si>
  <si>
    <t>Valor esperado</t>
  </si>
  <si>
    <t>Registre el valor nominal solicitado en la celda, el resultado proporcional esta automatizado.</t>
  </si>
  <si>
    <t>Obtenido</t>
  </si>
  <si>
    <t xml:space="preserve">CUADRO DE OBSERVACIONES </t>
  </si>
  <si>
    <t>Descripción</t>
  </si>
  <si>
    <t xml:space="preserve">No conformidad </t>
  </si>
  <si>
    <t>Solicitudes recibidas</t>
  </si>
  <si>
    <t xml:space="preserve">Valor que requiere atención y justificación en el apartado de observaciones </t>
  </si>
  <si>
    <t xml:space="preserve">Valor suficiente </t>
  </si>
  <si>
    <t>(Total de solicitudes atendidas / Total de solicitudes recibidas) *100</t>
  </si>
  <si>
    <t>(Total de encuestas aplicadas / Total de encuestas previstas) *100</t>
  </si>
  <si>
    <r>
      <rPr>
        <b/>
        <sz val="8"/>
        <color theme="1"/>
        <rFont val="Arial"/>
        <family val="2"/>
      </rPr>
      <t xml:space="preserve">Módulos con un turno: </t>
    </r>
    <r>
      <rPr>
        <sz val="8"/>
        <color theme="1"/>
        <rFont val="Arial"/>
        <family val="2"/>
      </rPr>
      <t>(Productividad promedio de atenciones de la semana operativa por estación de trabajo / 71) *100</t>
    </r>
  </si>
  <si>
    <t>CAP 2018-2019</t>
  </si>
  <si>
    <t xml:space="preserve">Semaforización </t>
  </si>
  <si>
    <t>Días operativos establecidos</t>
  </si>
  <si>
    <t>CAMPAÑA ANUAL PERMENENTE 2019-2020</t>
  </si>
  <si>
    <t>CAI 2020</t>
  </si>
  <si>
    <t>CAP 2019-2020</t>
  </si>
  <si>
    <t>b) Porcentaje de reemplazo de Credenciales no vigentes</t>
  </si>
  <si>
    <t>OBJETIVOS DE LA CALIDAD</t>
  </si>
  <si>
    <t>TABLERO DE CONTROL DE OBJETIVOS DE LA CALIDAD</t>
  </si>
  <si>
    <t>INSTITUTO NACIONAL ELECTORAL
SISTEMA DE GESTIÓN DE LA CALIDAD
PUEBLA</t>
  </si>
  <si>
    <t>Actualizar el Padrón Electoral en la entidad mediante la captación de solicitudes de credencial requeridas por la ciudadanía en los Módulos de Atención Ciudadana instalados.</t>
  </si>
  <si>
    <t>Conocer la opinión ciudadana sobre el servicio de los Módulos de Atención Ciudadana.</t>
  </si>
  <si>
    <t>Porcentaje de Utilización de la capacidad instalada en los módulos</t>
  </si>
  <si>
    <t>Elevar el porcentaje de utilización de la capacidad en los Módulos de Atención Ciudadana de la entidad.</t>
  </si>
  <si>
    <t>Porcentaje de solicitudes atendidas por artículo 141</t>
  </si>
  <si>
    <r>
      <t xml:space="preserve">Porcentaje de inscripciones en el rango de edad 18-19 años, </t>
    </r>
    <r>
      <rPr>
        <b/>
        <sz val="9"/>
        <color rgb="FF333F4F"/>
        <rFont val="Arial"/>
        <family val="2"/>
      </rPr>
      <t>17 % del total de tramites de la campaña</t>
    </r>
  </si>
  <si>
    <t>Porcentaje de utilización de la capacidad instalada en los módulos</t>
  </si>
  <si>
    <r>
      <t xml:space="preserve">Porcentaje de Inscripciones en el rango de edad 18-19 años, </t>
    </r>
    <r>
      <rPr>
        <b/>
        <sz val="9"/>
        <color rgb="FF333F4F"/>
        <rFont val="Arial"/>
        <family val="2"/>
      </rPr>
      <t>17 % del total de tramites de la campaña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</si>
</sst>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26" x14ac:knownFonts="1">
    <font>
      <sz val="10"/>
      <name val="Arial"/>
    </font>
    <font>
      <sz val="11"/>
      <color theme="1"/>
      <name val="Calibri"/>
      <family val="2"/>
      <scheme val="minor"/>
    </font>
    <font>
      <sz val="10"/>
      <name val="Arial"/>
      <family val="2"/>
    </font>
    <font>
      <sz val="10"/>
      <name val="Arial"/>
      <family val="2"/>
    </font>
    <font>
      <sz val="10"/>
      <color theme="1"/>
      <name val="Arial"/>
      <family val="2"/>
    </font>
    <font>
      <b/>
      <sz val="12"/>
      <color theme="0"/>
      <name val="Arial"/>
      <family val="2"/>
    </font>
    <font>
      <b/>
      <sz val="11"/>
      <color theme="0"/>
      <name val="Arial"/>
      <family val="2"/>
    </font>
    <font>
      <b/>
      <sz val="11"/>
      <color theme="3"/>
      <name val="Arial"/>
      <family val="2"/>
    </font>
    <font>
      <b/>
      <sz val="11"/>
      <name val="Arial"/>
      <family val="2"/>
    </font>
    <font>
      <sz val="11"/>
      <name val="Tahoma"/>
      <family val="2"/>
    </font>
    <font>
      <b/>
      <sz val="11"/>
      <color rgb="FF333F4F"/>
      <name val="Arial"/>
      <family val="2"/>
    </font>
    <font>
      <b/>
      <sz val="10"/>
      <name val="Arial"/>
      <family val="2"/>
    </font>
    <font>
      <b/>
      <sz val="14"/>
      <color theme="0"/>
      <name val="Arial"/>
      <family val="2"/>
    </font>
    <font>
      <b/>
      <sz val="10"/>
      <color theme="3" tint="-0.249977111117893"/>
      <name val="Arial"/>
      <family val="2"/>
    </font>
    <font>
      <b/>
      <sz val="8"/>
      <color theme="1"/>
      <name val="Arial"/>
      <family val="2"/>
    </font>
    <font>
      <sz val="8"/>
      <color theme="1"/>
      <name val="Arial"/>
      <family val="2"/>
    </font>
    <font>
      <sz val="10"/>
      <color theme="3" tint="-0.249977111117893"/>
      <name val="Arial"/>
      <family val="2"/>
    </font>
    <font>
      <sz val="9"/>
      <color rgb="FF333F4F"/>
      <name val="Arial"/>
      <family val="2"/>
    </font>
    <font>
      <sz val="9"/>
      <color theme="1"/>
      <name val="Arial"/>
      <family val="2"/>
    </font>
    <font>
      <b/>
      <sz val="10"/>
      <color theme="0"/>
      <name val="Arial"/>
      <family val="2"/>
    </font>
    <font>
      <b/>
      <sz val="8"/>
      <color theme="3" tint="-0.249977111117893"/>
      <name val="Arial"/>
      <family val="2"/>
    </font>
    <font>
      <sz val="20"/>
      <color theme="0"/>
      <name val="Arial"/>
      <family val="2"/>
    </font>
    <font>
      <sz val="20"/>
      <name val="Arial"/>
      <family val="2"/>
    </font>
    <font>
      <sz val="22"/>
      <color theme="0"/>
      <name val="Arial"/>
      <family val="2"/>
    </font>
    <font>
      <b/>
      <sz val="9"/>
      <color rgb="FF333F4F"/>
      <name val="Arial"/>
      <family val="2"/>
    </font>
    <font>
      <b/>
      <sz val="9"/>
      <name val="Arial"/>
      <family val="2"/>
    </font>
  </fonts>
  <fills count="8">
    <fill>
      <patternFill patternType="none"/>
    </fill>
    <fill>
      <patternFill patternType="gray125"/>
    </fill>
    <fill>
      <patternFill patternType="solid">
        <fgColor rgb="FF950054"/>
        <bgColor indexed="64"/>
      </patternFill>
    </fill>
    <fill>
      <patternFill patternType="solid">
        <fgColor rgb="FFEBF1DE"/>
        <bgColor rgb="FFEBF1DE"/>
      </patternFill>
    </fill>
    <fill>
      <patternFill patternType="solid">
        <fgColor theme="2"/>
        <bgColor indexed="64"/>
      </patternFill>
    </fill>
    <fill>
      <patternFill patternType="solid">
        <fgColor theme="1" tint="0.499984740745262"/>
        <bgColor indexed="64"/>
      </patternFill>
    </fill>
    <fill>
      <patternFill patternType="solid">
        <fgColor rgb="FFE98BD7"/>
        <bgColor indexed="64"/>
      </patternFill>
    </fill>
    <fill>
      <patternFill patternType="solid">
        <fgColor rgb="FFD5007F"/>
        <bgColor indexed="64"/>
      </patternFill>
    </fill>
  </fills>
  <borders count="15">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top/>
      <bottom style="hair">
        <color auto="1"/>
      </bottom>
      <diagonal/>
    </border>
    <border>
      <left/>
      <right/>
      <top/>
      <bottom style="hair">
        <color auto="1"/>
      </bottom>
      <diagonal/>
    </border>
    <border>
      <left/>
      <right/>
      <top style="hair">
        <color auto="1"/>
      </top>
      <bottom/>
      <diagonal/>
    </border>
    <border>
      <left style="hair">
        <color auto="1"/>
      </left>
      <right/>
      <top style="hair">
        <color auto="1"/>
      </top>
      <bottom/>
      <diagonal/>
    </border>
    <border>
      <left style="hair">
        <color auto="1"/>
      </left>
      <right/>
      <top/>
      <bottom/>
      <diagonal/>
    </border>
    <border>
      <left style="hair">
        <color auto="1"/>
      </left>
      <right style="hair">
        <color auto="1"/>
      </right>
      <top/>
      <bottom/>
      <diagonal/>
    </border>
    <border>
      <left/>
      <right style="hair">
        <color auto="1"/>
      </right>
      <top style="hair">
        <color auto="1"/>
      </top>
      <bottom/>
      <diagonal/>
    </border>
    <border>
      <left/>
      <right style="hair">
        <color auto="1"/>
      </right>
      <top/>
      <bottom/>
      <diagonal/>
    </border>
  </borders>
  <cellStyleXfs count="8">
    <xf numFmtId="0" fontId="0" fillId="0" borderId="0"/>
    <xf numFmtId="0" fontId="2" fillId="0" borderId="0"/>
    <xf numFmtId="43" fontId="3" fillId="0" borderId="0" applyFont="0" applyFill="0" applyBorder="0" applyAlignment="0" applyProtection="0"/>
    <xf numFmtId="9" fontId="3" fillId="0" borderId="0" applyFont="0" applyFill="0" applyBorder="0" applyAlignment="0" applyProtection="0"/>
    <xf numFmtId="0" fontId="9" fillId="3" borderId="0" applyFont="0" applyBorder="0" applyAlignment="0"/>
    <xf numFmtId="43" fontId="2" fillId="0" borderId="0" applyFont="0" applyFill="0" applyBorder="0" applyAlignment="0" applyProtection="0"/>
    <xf numFmtId="9" fontId="2" fillId="0" borderId="0" applyFont="0" applyFill="0" applyBorder="0" applyAlignment="0" applyProtection="0"/>
    <xf numFmtId="0" fontId="1" fillId="0" borderId="0"/>
  </cellStyleXfs>
  <cellXfs count="117">
    <xf numFmtId="0" fontId="0" fillId="0" borderId="0" xfId="0"/>
    <xf numFmtId="0" fontId="2" fillId="0" borderId="0" xfId="0" applyFont="1"/>
    <xf numFmtId="0" fontId="2" fillId="0" borderId="0" xfId="0" applyFont="1" applyAlignment="1">
      <alignment vertical="center" wrapText="1"/>
    </xf>
    <xf numFmtId="0" fontId="4" fillId="0" borderId="0" xfId="0" applyFont="1" applyAlignment="1">
      <alignment vertical="center"/>
    </xf>
    <xf numFmtId="0" fontId="4" fillId="0" borderId="0" xfId="0" applyFont="1" applyAlignment="1">
      <alignment horizontal="left" vertical="center" wrapText="1"/>
    </xf>
    <xf numFmtId="0" fontId="6" fillId="2" borderId="1" xfId="0" applyFont="1" applyFill="1" applyBorder="1" applyAlignment="1">
      <alignment horizontal="center" vertical="center" wrapText="1"/>
    </xf>
    <xf numFmtId="0" fontId="7" fillId="0" borderId="1" xfId="0" applyFont="1" applyBorder="1" applyAlignment="1">
      <alignment horizontal="center" vertical="center"/>
    </xf>
    <xf numFmtId="0" fontId="10" fillId="0" borderId="1" xfId="0" applyFont="1" applyBorder="1" applyAlignment="1">
      <alignment horizontal="justify" vertical="center" wrapText="1"/>
    </xf>
    <xf numFmtId="0" fontId="11" fillId="0" borderId="0" xfId="0" applyFont="1" applyAlignment="1">
      <alignment horizontal="right" vertical="top" wrapText="1"/>
    </xf>
    <xf numFmtId="0" fontId="11" fillId="0" borderId="0" xfId="0" applyFont="1" applyAlignment="1">
      <alignment horizontal="right" vertical="top"/>
    </xf>
    <xf numFmtId="0" fontId="13" fillId="0" borderId="1" xfId="0" applyFont="1" applyBorder="1" applyAlignment="1">
      <alignment horizontal="center" vertical="center"/>
    </xf>
    <xf numFmtId="0" fontId="16" fillId="0" borderId="1" xfId="0" applyFont="1" applyBorder="1" applyAlignment="1">
      <alignment horizontal="center" vertical="center"/>
    </xf>
    <xf numFmtId="9" fontId="7" fillId="0" borderId="1" xfId="2" applyNumberFormat="1" applyFont="1" applyFill="1" applyBorder="1" applyAlignment="1">
      <alignment horizontal="center" vertical="center"/>
    </xf>
    <xf numFmtId="0" fontId="17" fillId="0" borderId="1" xfId="0" applyFont="1" applyBorder="1" applyAlignment="1">
      <alignment horizontal="justify" vertical="center" wrapText="1"/>
    </xf>
    <xf numFmtId="0" fontId="15" fillId="0" borderId="1" xfId="0" applyFont="1" applyBorder="1" applyAlignment="1">
      <alignment horizontal="justify" wrapText="1"/>
    </xf>
    <xf numFmtId="0" fontId="15" fillId="0" borderId="1" xfId="0" applyFont="1" applyBorder="1" applyAlignment="1">
      <alignment horizontal="justify" vertical="center" wrapText="1"/>
    </xf>
    <xf numFmtId="1" fontId="8" fillId="0" borderId="1" xfId="3" applyNumberFormat="1" applyFont="1" applyFill="1" applyBorder="1" applyAlignment="1">
      <alignment horizontal="center" vertical="center"/>
    </xf>
    <xf numFmtId="3" fontId="8" fillId="0" borderId="1" xfId="3" applyNumberFormat="1" applyFont="1" applyFill="1" applyBorder="1" applyAlignment="1">
      <alignment horizontal="center" vertical="center"/>
    </xf>
    <xf numFmtId="0" fontId="8" fillId="0" borderId="1" xfId="3" applyNumberFormat="1" applyFont="1" applyFill="1" applyBorder="1" applyAlignment="1">
      <alignment horizontal="center" vertical="center"/>
    </xf>
    <xf numFmtId="9" fontId="8" fillId="0" borderId="1" xfId="3" applyNumberFormat="1" applyFont="1" applyFill="1" applyBorder="1" applyAlignment="1">
      <alignment horizontal="center" vertical="center"/>
    </xf>
    <xf numFmtId="0" fontId="4" fillId="4" borderId="1" xfId="3" applyNumberFormat="1" applyFont="1" applyFill="1" applyBorder="1" applyAlignment="1">
      <alignment horizontal="center" vertical="center"/>
    </xf>
    <xf numFmtId="0" fontId="8" fillId="4" borderId="1" xfId="2" applyNumberFormat="1" applyFont="1" applyFill="1" applyBorder="1" applyAlignment="1">
      <alignment horizontal="center" vertical="center"/>
    </xf>
    <xf numFmtId="1" fontId="4" fillId="4" borderId="1" xfId="3" applyNumberFormat="1" applyFont="1" applyFill="1" applyBorder="1" applyAlignment="1">
      <alignment horizontal="center" vertical="center"/>
    </xf>
    <xf numFmtId="164" fontId="8" fillId="0" borderId="1" xfId="3" applyNumberFormat="1" applyFont="1" applyFill="1" applyBorder="1" applyAlignment="1">
      <alignment horizontal="center" vertical="center" wrapText="1"/>
    </xf>
    <xf numFmtId="0" fontId="22" fillId="0" borderId="0" xfId="0" applyFont="1" applyFill="1" applyAlignment="1">
      <alignment vertical="center"/>
    </xf>
    <xf numFmtId="0" fontId="7" fillId="0" borderId="11" xfId="0" applyFont="1" applyBorder="1" applyAlignment="1">
      <alignment vertical="center"/>
    </xf>
    <xf numFmtId="0" fontId="7" fillId="0" borderId="0" xfId="0" applyFont="1" applyBorder="1" applyAlignment="1">
      <alignment vertical="center"/>
    </xf>
    <xf numFmtId="0" fontId="6" fillId="0" borderId="1" xfId="3" applyNumberFormat="1" applyFont="1" applyFill="1" applyBorder="1" applyAlignment="1">
      <alignment horizontal="center" vertical="center"/>
    </xf>
    <xf numFmtId="3" fontId="6" fillId="0" borderId="1" xfId="5" applyNumberFormat="1" applyFont="1" applyFill="1" applyBorder="1" applyAlignment="1">
      <alignment horizontal="center" vertical="center"/>
    </xf>
    <xf numFmtId="3" fontId="6" fillId="0" borderId="1" xfId="6" applyNumberFormat="1" applyFont="1" applyFill="1" applyBorder="1" applyAlignment="1">
      <alignment horizontal="center" vertical="center"/>
    </xf>
    <xf numFmtId="0" fontId="2" fillId="6" borderId="0" xfId="0" applyFont="1" applyFill="1" applyAlignment="1">
      <alignment vertical="center"/>
    </xf>
    <xf numFmtId="0" fontId="2" fillId="0" borderId="0" xfId="0" applyFont="1" applyAlignment="1">
      <alignment vertical="center"/>
    </xf>
    <xf numFmtId="0" fontId="2" fillId="7" borderId="0" xfId="0" applyFont="1" applyFill="1" applyAlignment="1">
      <alignment vertical="center"/>
    </xf>
    <xf numFmtId="0" fontId="2" fillId="2" borderId="0" xfId="0" applyFont="1" applyFill="1" applyAlignment="1">
      <alignment vertical="center"/>
    </xf>
    <xf numFmtId="0" fontId="6" fillId="2" borderId="1" xfId="0" applyFont="1" applyFill="1" applyBorder="1" applyAlignment="1">
      <alignment horizontal="center"/>
    </xf>
    <xf numFmtId="0" fontId="2" fillId="0" borderId="1" xfId="0" applyFont="1" applyBorder="1" applyAlignment="1"/>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2" fontId="21" fillId="2" borderId="11" xfId="0" applyNumberFormat="1" applyFont="1" applyFill="1" applyBorder="1" applyAlignment="1">
      <alignment vertical="center"/>
    </xf>
    <xf numFmtId="9" fontId="25" fillId="0" borderId="1" xfId="3" applyNumberFormat="1" applyFont="1" applyFill="1" applyBorder="1" applyAlignment="1">
      <alignment horizontal="center" vertical="center" wrapText="1"/>
    </xf>
    <xf numFmtId="9" fontId="11" fillId="0" borderId="1" xfId="3" applyNumberFormat="1" applyFont="1" applyFill="1" applyBorder="1" applyAlignment="1">
      <alignment horizontal="center" vertical="center"/>
    </xf>
    <xf numFmtId="0" fontId="17" fillId="0" borderId="2" xfId="0" applyFont="1" applyBorder="1" applyAlignment="1">
      <alignment horizontal="center" vertical="center" wrapText="1"/>
    </xf>
    <xf numFmtId="2" fontId="23" fillId="2" borderId="11" xfId="0" applyNumberFormat="1" applyFont="1" applyFill="1" applyBorder="1" applyAlignment="1">
      <alignment horizontal="center" vertical="center"/>
    </xf>
    <xf numFmtId="2" fontId="23" fillId="2" borderId="0" xfId="0" applyNumberFormat="1" applyFont="1" applyFill="1" applyAlignment="1">
      <alignment horizontal="center" vertical="center"/>
    </xf>
    <xf numFmtId="9" fontId="23" fillId="2" borderId="0" xfId="3" applyFont="1" applyFill="1" applyAlignment="1">
      <alignment horizontal="center" vertical="center" wrapText="1"/>
    </xf>
    <xf numFmtId="9" fontId="23" fillId="2" borderId="11" xfId="3" applyFont="1" applyFill="1" applyBorder="1" applyAlignment="1">
      <alignment horizontal="center" vertical="center"/>
    </xf>
    <xf numFmtId="1" fontId="23" fillId="2" borderId="0" xfId="3" applyNumberFormat="1" applyFont="1" applyFill="1" applyAlignment="1">
      <alignment horizontal="center" vertical="center" wrapText="1"/>
    </xf>
    <xf numFmtId="0" fontId="8" fillId="0" borderId="1" xfId="2" applyNumberFormat="1" applyFont="1" applyFill="1" applyBorder="1" applyAlignment="1">
      <alignment horizontal="center" vertical="center"/>
    </xf>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2" fillId="0" borderId="1" xfId="0" applyFont="1" applyBorder="1" applyAlignment="1">
      <alignment horizontal="center"/>
    </xf>
    <xf numFmtId="2" fontId="23" fillId="2" borderId="11" xfId="0" applyNumberFormat="1" applyFont="1" applyFill="1" applyBorder="1" applyAlignment="1">
      <alignment horizontal="center" vertical="center" wrapText="1"/>
    </xf>
    <xf numFmtId="2" fontId="23" fillId="2" borderId="0" xfId="0" applyNumberFormat="1" applyFont="1" applyFill="1" applyBorder="1" applyAlignment="1">
      <alignment horizontal="center" vertical="center" wrapText="1"/>
    </xf>
    <xf numFmtId="2" fontId="21" fillId="2" borderId="11" xfId="0" applyNumberFormat="1" applyFont="1" applyFill="1" applyBorder="1" applyAlignment="1">
      <alignment horizontal="center" vertical="center"/>
    </xf>
    <xf numFmtId="2" fontId="21" fillId="2" borderId="0" xfId="0" applyNumberFormat="1" applyFont="1" applyFill="1" applyBorder="1" applyAlignment="1">
      <alignment horizontal="center" vertical="center"/>
    </xf>
    <xf numFmtId="2" fontId="21" fillId="2" borderId="0" xfId="0" applyNumberFormat="1" applyFont="1" applyFill="1" applyAlignment="1">
      <alignment horizontal="center" vertical="center"/>
    </xf>
    <xf numFmtId="2" fontId="21" fillId="2" borderId="14" xfId="0" applyNumberFormat="1" applyFont="1" applyFill="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9" fontId="7" fillId="0" borderId="2" xfId="2" applyNumberFormat="1" applyFont="1" applyFill="1" applyBorder="1" applyAlignment="1">
      <alignment horizontal="center" vertical="center"/>
    </xf>
    <xf numFmtId="9" fontId="7" fillId="0" borderId="3" xfId="2" applyNumberFormat="1" applyFont="1" applyFill="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10" fillId="0" borderId="2" xfId="0" applyFont="1" applyBorder="1" applyAlignment="1">
      <alignment horizontal="justify" vertical="center" wrapText="1"/>
    </xf>
    <xf numFmtId="0" fontId="10" fillId="0" borderId="3" xfId="0" applyFont="1" applyBorder="1" applyAlignment="1">
      <alignment horizontal="justify" vertical="center" wrapText="1"/>
    </xf>
    <xf numFmtId="0" fontId="17" fillId="0" borderId="2" xfId="0" applyFont="1" applyBorder="1" applyAlignment="1">
      <alignment horizontal="center" vertical="center" wrapText="1"/>
    </xf>
    <xf numFmtId="0" fontId="17" fillId="0" borderId="3"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9" fontId="8" fillId="0" borderId="2" xfId="3" applyNumberFormat="1" applyFont="1" applyFill="1" applyBorder="1" applyAlignment="1">
      <alignment horizontal="center" vertical="center"/>
    </xf>
    <xf numFmtId="9" fontId="8" fillId="0" borderId="3" xfId="3" applyNumberFormat="1" applyFont="1" applyFill="1" applyBorder="1" applyAlignment="1">
      <alignment horizontal="center" vertical="center"/>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18" fillId="0" borderId="10" xfId="0" applyFont="1" applyBorder="1" applyAlignment="1">
      <alignment horizontal="center" vertical="center" wrapText="1"/>
    </xf>
    <xf numFmtId="0" fontId="18" fillId="0" borderId="7" xfId="0" applyFont="1" applyBorder="1" applyAlignment="1">
      <alignment horizontal="center" vertical="center" wrapText="1"/>
    </xf>
    <xf numFmtId="9" fontId="21" fillId="2" borderId="11" xfId="3" applyFont="1" applyFill="1" applyBorder="1" applyAlignment="1">
      <alignment horizontal="center" vertical="center"/>
    </xf>
    <xf numFmtId="0" fontId="20" fillId="4" borderId="4" xfId="0" applyFont="1" applyFill="1" applyBorder="1" applyAlignment="1">
      <alignment horizontal="center" vertical="center"/>
    </xf>
    <xf numFmtId="0" fontId="20" fillId="4" borderId="5" xfId="0" applyFont="1" applyFill="1" applyBorder="1" applyAlignment="1">
      <alignment horizontal="center" vertical="center"/>
    </xf>
    <xf numFmtId="0" fontId="20" fillId="4" borderId="6" xfId="0" applyFont="1" applyFill="1" applyBorder="1" applyAlignment="1">
      <alignment horizontal="center" vertical="center"/>
    </xf>
    <xf numFmtId="0" fontId="14" fillId="4" borderId="4" xfId="3" applyNumberFormat="1" applyFont="1" applyFill="1" applyBorder="1" applyAlignment="1">
      <alignment horizontal="center" vertical="center"/>
    </xf>
    <xf numFmtId="0" fontId="14" fillId="4" borderId="5" xfId="3" applyNumberFormat="1" applyFont="1" applyFill="1" applyBorder="1" applyAlignment="1">
      <alignment horizontal="center" vertical="center"/>
    </xf>
    <xf numFmtId="0" fontId="14" fillId="4" borderId="6" xfId="3" applyNumberFormat="1" applyFont="1" applyFill="1" applyBorder="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11" fillId="0" borderId="0" xfId="0" applyFont="1" applyAlignment="1">
      <alignment horizontal="right" vertical="top" wrapText="1"/>
    </xf>
    <xf numFmtId="0" fontId="12" fillId="2" borderId="0" xfId="0" applyFont="1" applyFill="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6" xfId="0" applyFont="1" applyFill="1" applyBorder="1" applyAlignment="1">
      <alignment horizontal="center" vertical="center"/>
    </xf>
    <xf numFmtId="0" fontId="5" fillId="5" borderId="4" xfId="0" applyFont="1" applyFill="1" applyBorder="1" applyAlignment="1">
      <alignment horizontal="center" vertical="center"/>
    </xf>
    <xf numFmtId="0" fontId="5" fillId="5" borderId="5" xfId="0" applyFont="1" applyFill="1" applyBorder="1" applyAlignment="1">
      <alignment horizontal="center" vertical="center"/>
    </xf>
    <xf numFmtId="0" fontId="5" fillId="5" borderId="6" xfId="0" applyFont="1" applyFill="1" applyBorder="1" applyAlignment="1">
      <alignment horizontal="center" vertical="center"/>
    </xf>
    <xf numFmtId="0" fontId="5" fillId="2" borderId="1" xfId="0" applyFont="1" applyFill="1" applyBorder="1" applyAlignment="1">
      <alignment horizontal="center" vertical="center"/>
    </xf>
    <xf numFmtId="0" fontId="19" fillId="2" borderId="11" xfId="0" applyFont="1" applyFill="1" applyBorder="1" applyAlignment="1">
      <alignment horizontal="center" vertical="center" wrapText="1"/>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0" borderId="11" xfId="0" applyFont="1" applyBorder="1" applyAlignment="1">
      <alignment horizontal="center" vertical="center"/>
    </xf>
    <xf numFmtId="0" fontId="7" fillId="0" borderId="0" xfId="0" applyFont="1" applyBorder="1" applyAlignment="1">
      <alignment horizontal="center" vertical="center"/>
    </xf>
    <xf numFmtId="0" fontId="7" fillId="0" borderId="12" xfId="0" applyFont="1" applyBorder="1" applyAlignment="1">
      <alignment horizontal="center" vertical="center"/>
    </xf>
    <xf numFmtId="0" fontId="10" fillId="0" borderId="12" xfId="0" applyFont="1" applyBorder="1" applyAlignment="1">
      <alignment horizontal="justify" vertical="center" wrapText="1"/>
    </xf>
    <xf numFmtId="0" fontId="18" fillId="0" borderId="11" xfId="0" applyFont="1" applyBorder="1" applyAlignment="1">
      <alignment horizontal="center" vertical="center" wrapText="1"/>
    </xf>
    <xf numFmtId="0" fontId="15" fillId="0" borderId="12" xfId="0" applyFont="1" applyBorder="1" applyAlignment="1">
      <alignment horizontal="center" vertical="center" wrapText="1"/>
    </xf>
    <xf numFmtId="0" fontId="11" fillId="0" borderId="9" xfId="0" applyFont="1" applyBorder="1" applyAlignment="1">
      <alignment horizontal="center"/>
    </xf>
    <xf numFmtId="2" fontId="21" fillId="2" borderId="10" xfId="0" applyNumberFormat="1" applyFont="1" applyFill="1" applyBorder="1" applyAlignment="1">
      <alignment horizontal="center" vertical="center" wrapText="1"/>
    </xf>
    <xf numFmtId="2" fontId="21" fillId="2" borderId="13" xfId="0" applyNumberFormat="1" applyFont="1" applyFill="1" applyBorder="1" applyAlignment="1">
      <alignment horizontal="center" vertical="center" wrapText="1"/>
    </xf>
    <xf numFmtId="2" fontId="21" fillId="2" borderId="11" xfId="0" applyNumberFormat="1" applyFont="1" applyFill="1" applyBorder="1" applyAlignment="1">
      <alignment horizontal="center" vertical="center" wrapText="1"/>
    </xf>
    <xf numFmtId="2" fontId="21" fillId="2" borderId="14" xfId="0" applyNumberFormat="1" applyFont="1" applyFill="1" applyBorder="1" applyAlignment="1">
      <alignment horizontal="center" vertical="center" wrapText="1"/>
    </xf>
    <xf numFmtId="0" fontId="6" fillId="2" borderId="4"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4" xfId="0" applyFont="1" applyFill="1" applyBorder="1" applyAlignment="1">
      <alignment horizontal="center" vertical="center" wrapText="1"/>
    </xf>
    <xf numFmtId="0" fontId="6" fillId="2" borderId="6" xfId="0" applyFont="1" applyFill="1" applyBorder="1" applyAlignment="1">
      <alignment horizontal="center" vertical="center" wrapText="1"/>
    </xf>
  </cellXfs>
  <cellStyles count="8">
    <cellStyle name="FONS" xfId="4" xr:uid="{00000000-0005-0000-0000-000000000000}"/>
    <cellStyle name="Millares" xfId="2" builtinId="3"/>
    <cellStyle name="Millares 2" xfId="5" xr:uid="{00000000-0005-0000-0000-000002000000}"/>
    <cellStyle name="Normal" xfId="0" builtinId="0"/>
    <cellStyle name="Normal 2" xfId="1" xr:uid="{00000000-0005-0000-0000-000004000000}"/>
    <cellStyle name="Normal 3" xfId="7" xr:uid="{00000000-0005-0000-0000-000005000000}"/>
    <cellStyle name="Porcentaje" xfId="3" builtinId="5"/>
    <cellStyle name="Porcentaje 2" xfId="6" xr:uid="{00000000-0005-0000-0000-000007000000}"/>
  </cellStyles>
  <dxfs count="0"/>
  <tableStyles count="0" defaultTableStyle="TableStyleMedium2" defaultPivotStyle="PivotStyleLight16"/>
  <colors>
    <mruColors>
      <color rgb="FF950054"/>
      <color rgb="FFE98BD7"/>
      <color rgb="FF972958"/>
      <color rgb="FFD5007F"/>
      <color rgb="FFFF69C2"/>
      <color rgb="FFB8006E"/>
      <color rgb="FFFAE2F5"/>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749301</xdr:colOff>
      <xdr:row>0</xdr:row>
      <xdr:rowOff>485774</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349376" cy="48577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5">
    <pageSetUpPr fitToPage="1"/>
  </sheetPr>
  <dimension ref="A1:U49"/>
  <sheetViews>
    <sheetView showGridLines="0" tabSelected="1" topLeftCell="F1" zoomScaleNormal="100" zoomScaleSheetLayoutView="80" zoomScalePageLayoutView="10" workbookViewId="0">
      <selection activeCell="Q7" sqref="Q7"/>
    </sheetView>
  </sheetViews>
  <sheetFormatPr baseColWidth="10" defaultColWidth="11.44140625" defaultRowHeight="30" customHeight="1" x14ac:dyDescent="0.25"/>
  <cols>
    <col min="1" max="1" width="9" style="1" bestFit="1" customWidth="1"/>
    <col min="2" max="2" width="31.6640625" style="1" customWidth="1"/>
    <col min="3" max="3" width="31.5546875" style="1" customWidth="1"/>
    <col min="4" max="4" width="21.6640625" style="1" customWidth="1"/>
    <col min="5" max="5" width="13.44140625" style="1" bestFit="1" customWidth="1"/>
    <col min="6" max="6" width="10.33203125" style="1" bestFit="1" customWidth="1"/>
    <col min="7" max="7" width="13.88671875" style="1" customWidth="1"/>
    <col min="8" max="8" width="8.33203125" style="1" customWidth="1"/>
    <col min="9" max="20" width="7.6640625" style="1" customWidth="1"/>
    <col min="21" max="21" width="23.5546875" style="1" customWidth="1"/>
    <col min="22" max="16384" width="11.44140625" style="1"/>
  </cols>
  <sheetData>
    <row r="1" spans="1:21" ht="40.5" customHeight="1" x14ac:dyDescent="0.25">
      <c r="A1" s="86" t="s">
        <v>62</v>
      </c>
      <c r="B1" s="86"/>
      <c r="C1" s="86"/>
      <c r="D1" s="86"/>
      <c r="E1" s="86"/>
      <c r="F1" s="86"/>
      <c r="G1" s="86"/>
      <c r="H1" s="86"/>
      <c r="I1" s="86"/>
      <c r="J1" s="86"/>
      <c r="K1" s="86"/>
      <c r="L1" s="86"/>
      <c r="M1" s="86"/>
      <c r="N1" s="86"/>
      <c r="O1" s="86"/>
      <c r="P1" s="86"/>
      <c r="Q1" s="86"/>
      <c r="R1" s="86"/>
      <c r="S1" s="86"/>
      <c r="T1" s="86"/>
      <c r="U1" s="86"/>
    </row>
    <row r="2" spans="1:21" ht="11.25" customHeight="1" x14ac:dyDescent="0.25">
      <c r="A2" s="8"/>
      <c r="B2" s="9"/>
      <c r="C2" s="9"/>
      <c r="D2" s="9"/>
      <c r="E2" s="9"/>
      <c r="F2" s="9"/>
      <c r="G2" s="9"/>
      <c r="H2" s="9"/>
      <c r="I2" s="9"/>
      <c r="J2" s="9"/>
      <c r="K2" s="9"/>
      <c r="L2" s="9"/>
      <c r="M2" s="9"/>
      <c r="N2" s="9"/>
      <c r="O2" s="9"/>
      <c r="P2" s="9"/>
      <c r="Q2" s="9"/>
      <c r="R2" s="9"/>
      <c r="S2" s="9"/>
      <c r="T2" s="9"/>
    </row>
    <row r="3" spans="1:21" ht="30" customHeight="1" x14ac:dyDescent="0.25">
      <c r="A3" s="87" t="s">
        <v>61</v>
      </c>
      <c r="B3" s="87"/>
      <c r="C3" s="87"/>
      <c r="D3" s="87"/>
      <c r="E3" s="87"/>
      <c r="F3" s="87"/>
      <c r="G3" s="87"/>
      <c r="H3" s="87"/>
      <c r="I3" s="87"/>
      <c r="J3" s="87"/>
      <c r="K3" s="87"/>
      <c r="L3" s="87"/>
      <c r="M3" s="87"/>
      <c r="N3" s="87"/>
      <c r="O3" s="87"/>
      <c r="P3" s="87"/>
      <c r="Q3" s="87"/>
      <c r="R3" s="87"/>
      <c r="S3" s="87"/>
      <c r="T3" s="87"/>
      <c r="U3" s="87"/>
    </row>
    <row r="4" spans="1:21" ht="5.25" customHeight="1" x14ac:dyDescent="0.25"/>
    <row r="5" spans="1:21" ht="18" customHeight="1" x14ac:dyDescent="0.25">
      <c r="A5" s="97" t="s">
        <v>60</v>
      </c>
      <c r="B5" s="97"/>
      <c r="C5" s="97"/>
      <c r="D5" s="97"/>
      <c r="E5" s="97"/>
      <c r="F5" s="97"/>
      <c r="G5" s="97"/>
      <c r="H5" s="88" t="s">
        <v>0</v>
      </c>
      <c r="I5" s="89"/>
      <c r="J5" s="89"/>
      <c r="K5" s="89"/>
      <c r="L5" s="89"/>
      <c r="M5" s="89"/>
      <c r="N5" s="89"/>
      <c r="O5" s="89"/>
      <c r="P5" s="89"/>
      <c r="Q5" s="89"/>
      <c r="R5" s="89"/>
      <c r="S5" s="89"/>
      <c r="T5" s="90"/>
      <c r="U5" s="98" t="s">
        <v>34</v>
      </c>
    </row>
    <row r="6" spans="1:21" ht="15.6" x14ac:dyDescent="0.25">
      <c r="A6" s="88" t="s">
        <v>25</v>
      </c>
      <c r="B6" s="89"/>
      <c r="C6" s="90"/>
      <c r="D6" s="88" t="s">
        <v>26</v>
      </c>
      <c r="E6" s="89"/>
      <c r="F6" s="89"/>
      <c r="G6" s="90"/>
      <c r="H6" s="94" t="s">
        <v>56</v>
      </c>
      <c r="I6" s="95"/>
      <c r="J6" s="95"/>
      <c r="K6" s="95"/>
      <c r="L6" s="95"/>
      <c r="M6" s="95"/>
      <c r="N6" s="95"/>
      <c r="O6" s="95"/>
      <c r="P6" s="96"/>
      <c r="Q6" s="91" t="s">
        <v>57</v>
      </c>
      <c r="R6" s="92"/>
      <c r="S6" s="92"/>
      <c r="T6" s="93"/>
      <c r="U6" s="98"/>
    </row>
    <row r="7" spans="1:21" s="2" customFormat="1" ht="15" customHeight="1" x14ac:dyDescent="0.25">
      <c r="A7" s="5" t="s">
        <v>20</v>
      </c>
      <c r="B7" s="5" t="s">
        <v>19</v>
      </c>
      <c r="C7" s="5" t="s">
        <v>22</v>
      </c>
      <c r="D7" s="5" t="s">
        <v>24</v>
      </c>
      <c r="E7" s="5" t="s">
        <v>23</v>
      </c>
      <c r="F7" s="5" t="s">
        <v>29</v>
      </c>
      <c r="G7" s="5" t="s">
        <v>35</v>
      </c>
      <c r="H7" s="5" t="s">
        <v>12</v>
      </c>
      <c r="I7" s="5" t="s">
        <v>1</v>
      </c>
      <c r="J7" s="5" t="s">
        <v>2</v>
      </c>
      <c r="K7" s="5" t="s">
        <v>3</v>
      </c>
      <c r="L7" s="5" t="s">
        <v>4</v>
      </c>
      <c r="M7" s="5" t="s">
        <v>5</v>
      </c>
      <c r="N7" s="5" t="s">
        <v>6</v>
      </c>
      <c r="O7" s="5" t="s">
        <v>7</v>
      </c>
      <c r="P7" s="5" t="s">
        <v>8</v>
      </c>
      <c r="Q7" s="5" t="s">
        <v>9</v>
      </c>
      <c r="R7" s="5" t="s">
        <v>10</v>
      </c>
      <c r="S7" s="5" t="s">
        <v>11</v>
      </c>
      <c r="T7" s="5" t="s">
        <v>12</v>
      </c>
      <c r="U7" s="98"/>
    </row>
    <row r="8" spans="1:21" s="2" customFormat="1" ht="40.799999999999997" x14ac:dyDescent="0.2">
      <c r="A8" s="63">
        <v>1</v>
      </c>
      <c r="B8" s="65" t="s">
        <v>63</v>
      </c>
      <c r="C8" s="42" t="s">
        <v>18</v>
      </c>
      <c r="D8" s="14" t="s">
        <v>27</v>
      </c>
      <c r="E8" s="11" t="s">
        <v>58</v>
      </c>
      <c r="F8" s="12"/>
      <c r="G8" s="17"/>
      <c r="H8" s="28">
        <v>0</v>
      </c>
      <c r="I8" s="28">
        <v>0</v>
      </c>
      <c r="J8" s="28">
        <v>0</v>
      </c>
      <c r="K8" s="28">
        <v>0</v>
      </c>
      <c r="L8" s="28">
        <v>0</v>
      </c>
      <c r="M8" s="28">
        <v>0</v>
      </c>
      <c r="N8" s="28">
        <v>0</v>
      </c>
      <c r="O8" s="28">
        <v>0</v>
      </c>
      <c r="P8" s="28">
        <v>0</v>
      </c>
      <c r="Q8" s="28">
        <v>0</v>
      </c>
      <c r="R8" s="28">
        <v>0</v>
      </c>
      <c r="S8" s="28">
        <v>0</v>
      </c>
      <c r="T8" s="28">
        <v>0</v>
      </c>
      <c r="U8" s="45">
        <f>IFERROR(SUM(H8:P8)/G8,0)</f>
        <v>0</v>
      </c>
    </row>
    <row r="9" spans="1:21" s="3" customFormat="1" ht="40.799999999999997" x14ac:dyDescent="0.25">
      <c r="A9" s="64"/>
      <c r="B9" s="66"/>
      <c r="C9" s="13" t="s">
        <v>59</v>
      </c>
      <c r="D9" s="15" t="s">
        <v>28</v>
      </c>
      <c r="E9" s="11" t="s">
        <v>17</v>
      </c>
      <c r="F9" s="12"/>
      <c r="G9" s="17"/>
      <c r="H9" s="28">
        <v>0</v>
      </c>
      <c r="I9" s="28">
        <v>0</v>
      </c>
      <c r="J9" s="28">
        <v>0</v>
      </c>
      <c r="K9" s="28">
        <v>0</v>
      </c>
      <c r="L9" s="28">
        <v>0</v>
      </c>
      <c r="M9" s="28">
        <v>0</v>
      </c>
      <c r="N9" s="28">
        <v>0</v>
      </c>
      <c r="O9" s="28">
        <v>0</v>
      </c>
      <c r="P9" s="28">
        <v>0</v>
      </c>
      <c r="Q9" s="28">
        <v>0</v>
      </c>
      <c r="R9" s="28">
        <v>0</v>
      </c>
      <c r="S9" s="28">
        <v>0</v>
      </c>
      <c r="T9" s="28">
        <v>0</v>
      </c>
      <c r="U9" s="45">
        <f>IFERROR(SUM(H9:R9)/G9,0)</f>
        <v>0</v>
      </c>
    </row>
    <row r="10" spans="1:21" s="3" customFormat="1" ht="9" customHeight="1" x14ac:dyDescent="0.25">
      <c r="A10" s="99"/>
      <c r="B10" s="100"/>
      <c r="C10" s="100"/>
      <c r="D10" s="100"/>
      <c r="E10" s="100"/>
      <c r="F10" s="100"/>
      <c r="G10" s="100"/>
      <c r="H10" s="100"/>
      <c r="I10" s="100"/>
      <c r="J10" s="100"/>
      <c r="K10" s="100"/>
      <c r="L10" s="100"/>
      <c r="M10" s="100"/>
      <c r="N10" s="100"/>
      <c r="O10" s="100"/>
      <c r="P10" s="100"/>
      <c r="Q10" s="100"/>
      <c r="R10" s="100"/>
      <c r="S10" s="100"/>
      <c r="T10" s="100"/>
      <c r="U10" s="24"/>
    </row>
    <row r="11" spans="1:21" s="3" customFormat="1" ht="56.25" customHeight="1" x14ac:dyDescent="0.2">
      <c r="A11" s="63">
        <v>2</v>
      </c>
      <c r="B11" s="65" t="s">
        <v>66</v>
      </c>
      <c r="C11" s="75" t="s">
        <v>65</v>
      </c>
      <c r="D11" s="14" t="s">
        <v>52</v>
      </c>
      <c r="E11" s="10" t="s">
        <v>17</v>
      </c>
      <c r="F11" s="10" t="s">
        <v>38</v>
      </c>
      <c r="G11" s="23"/>
      <c r="H11" s="27">
        <v>0</v>
      </c>
      <c r="I11" s="27">
        <v>0</v>
      </c>
      <c r="J11" s="27">
        <v>0</v>
      </c>
      <c r="K11" s="27">
        <v>0</v>
      </c>
      <c r="L11" s="27">
        <v>0</v>
      </c>
      <c r="M11" s="27">
        <v>0</v>
      </c>
      <c r="N11" s="27">
        <v>0</v>
      </c>
      <c r="O11" s="27">
        <v>0</v>
      </c>
      <c r="P11" s="27">
        <v>0</v>
      </c>
      <c r="Q11" s="27">
        <v>0</v>
      </c>
      <c r="R11" s="27">
        <v>0</v>
      </c>
      <c r="S11" s="27">
        <v>0</v>
      </c>
      <c r="T11" s="27">
        <v>0</v>
      </c>
      <c r="U11" s="44">
        <f>IFERROR(SUM(H11:P11)/9,0)</f>
        <v>0</v>
      </c>
    </row>
    <row r="12" spans="1:21" s="3" customFormat="1" ht="51" x14ac:dyDescent="0.25">
      <c r="A12" s="64"/>
      <c r="B12" s="66"/>
      <c r="C12" s="76"/>
      <c r="D12" s="15" t="s">
        <v>30</v>
      </c>
      <c r="E12" s="10" t="s">
        <v>17</v>
      </c>
      <c r="F12" s="10" t="s">
        <v>37</v>
      </c>
      <c r="G12" s="23"/>
      <c r="H12" s="27">
        <v>0</v>
      </c>
      <c r="I12" s="27">
        <v>0</v>
      </c>
      <c r="J12" s="27">
        <v>0</v>
      </c>
      <c r="K12" s="27">
        <v>0</v>
      </c>
      <c r="L12" s="27">
        <v>0</v>
      </c>
      <c r="M12" s="27">
        <v>0</v>
      </c>
      <c r="N12" s="27">
        <v>0</v>
      </c>
      <c r="O12" s="27">
        <v>0</v>
      </c>
      <c r="P12" s="27">
        <v>0</v>
      </c>
      <c r="Q12" s="27">
        <v>0</v>
      </c>
      <c r="R12" s="27">
        <v>0</v>
      </c>
      <c r="S12" s="27">
        <v>0</v>
      </c>
      <c r="T12" s="27">
        <v>0</v>
      </c>
      <c r="U12" s="43">
        <f>SUM(H12:P12)/8</f>
        <v>0</v>
      </c>
    </row>
    <row r="13" spans="1:21" s="3" customFormat="1" ht="9" customHeight="1" x14ac:dyDescent="0.25">
      <c r="A13" s="25"/>
      <c r="B13" s="26"/>
      <c r="C13" s="26"/>
      <c r="D13" s="26"/>
      <c r="E13" s="26"/>
      <c r="F13" s="26"/>
      <c r="G13" s="26"/>
      <c r="H13" s="26"/>
      <c r="I13" s="26"/>
      <c r="J13" s="26"/>
      <c r="K13" s="26"/>
      <c r="L13" s="26"/>
      <c r="M13" s="26"/>
      <c r="N13" s="26"/>
      <c r="O13" s="26"/>
      <c r="P13" s="26"/>
      <c r="Q13" s="26"/>
      <c r="R13" s="26"/>
      <c r="S13" s="26"/>
      <c r="T13" s="26"/>
      <c r="U13" s="26"/>
    </row>
    <row r="14" spans="1:21" s="3" customFormat="1" ht="15" customHeight="1" x14ac:dyDescent="0.25">
      <c r="A14" s="63">
        <v>3</v>
      </c>
      <c r="B14" s="65" t="s">
        <v>13</v>
      </c>
      <c r="C14" s="75" t="s">
        <v>15</v>
      </c>
      <c r="D14" s="69" t="s">
        <v>32</v>
      </c>
      <c r="E14" s="81" t="s">
        <v>55</v>
      </c>
      <c r="F14" s="82"/>
      <c r="G14" s="83"/>
      <c r="H14" s="20">
        <v>5</v>
      </c>
      <c r="I14" s="20">
        <v>26</v>
      </c>
      <c r="J14" s="20">
        <v>23</v>
      </c>
      <c r="K14" s="20">
        <v>25</v>
      </c>
      <c r="L14" s="20">
        <v>23</v>
      </c>
      <c r="M14" s="20">
        <v>26</v>
      </c>
      <c r="N14" s="20">
        <v>25</v>
      </c>
      <c r="O14" s="20">
        <v>27</v>
      </c>
      <c r="P14" s="20">
        <v>27</v>
      </c>
      <c r="Q14" s="21">
        <v>24</v>
      </c>
      <c r="R14" s="21">
        <v>27</v>
      </c>
      <c r="S14" s="21">
        <v>24</v>
      </c>
      <c r="T14" s="21">
        <v>12</v>
      </c>
      <c r="U14" s="39"/>
    </row>
    <row r="15" spans="1:21" s="3" customFormat="1" ht="51.75" customHeight="1" x14ac:dyDescent="0.25">
      <c r="A15" s="103"/>
      <c r="B15" s="104"/>
      <c r="C15" s="105"/>
      <c r="D15" s="106"/>
      <c r="E15" s="59" t="s">
        <v>17</v>
      </c>
      <c r="F15" s="40" t="s">
        <v>58</v>
      </c>
      <c r="G15" s="16">
        <f>SUM(H14:P14)</f>
        <v>207</v>
      </c>
      <c r="H15" s="27">
        <v>0</v>
      </c>
      <c r="I15" s="27">
        <v>0</v>
      </c>
      <c r="J15" s="27">
        <v>0</v>
      </c>
      <c r="K15" s="27">
        <v>0</v>
      </c>
      <c r="L15" s="27">
        <v>0</v>
      </c>
      <c r="M15" s="27">
        <v>0</v>
      </c>
      <c r="N15" s="27">
        <v>0</v>
      </c>
      <c r="O15" s="27">
        <v>0</v>
      </c>
      <c r="P15" s="27">
        <v>0</v>
      </c>
      <c r="Q15" s="27">
        <v>0</v>
      </c>
      <c r="R15" s="27">
        <v>0</v>
      </c>
      <c r="S15" s="27">
        <v>0</v>
      </c>
      <c r="T15" s="27">
        <v>0</v>
      </c>
      <c r="U15" s="46">
        <f>IFERROR(SUM(H15:Q15)/G15,0)</f>
        <v>0</v>
      </c>
    </row>
    <row r="16" spans="1:21" s="3" customFormat="1" ht="63.75" customHeight="1" x14ac:dyDescent="0.25">
      <c r="A16" s="64"/>
      <c r="B16" s="66"/>
      <c r="C16" s="76"/>
      <c r="D16" s="70"/>
      <c r="E16" s="60"/>
      <c r="F16" s="41" t="s">
        <v>57</v>
      </c>
      <c r="G16" s="16">
        <f>SUM(Q14:T14)</f>
        <v>87</v>
      </c>
      <c r="H16" s="27">
        <v>0</v>
      </c>
      <c r="I16" s="27">
        <v>0</v>
      </c>
      <c r="J16" s="27">
        <v>0</v>
      </c>
      <c r="K16" s="27">
        <v>0</v>
      </c>
      <c r="L16" s="27">
        <v>0</v>
      </c>
      <c r="M16" s="27">
        <v>0</v>
      </c>
      <c r="N16" s="27">
        <v>0</v>
      </c>
      <c r="O16" s="27">
        <v>0</v>
      </c>
      <c r="P16" s="27">
        <v>0</v>
      </c>
      <c r="Q16" s="27">
        <v>0</v>
      </c>
      <c r="R16" s="27">
        <v>0</v>
      </c>
      <c r="S16" s="27">
        <v>0</v>
      </c>
      <c r="T16" s="27">
        <v>0</v>
      </c>
      <c r="U16" s="46">
        <f>IFERROR(SUM(Q16:T16)/G16,0)</f>
        <v>0</v>
      </c>
    </row>
    <row r="17" spans="1:21" s="3" customFormat="1" ht="9" customHeight="1" x14ac:dyDescent="0.25">
      <c r="A17" s="84"/>
      <c r="B17" s="85"/>
      <c r="C17" s="85"/>
      <c r="D17" s="85"/>
      <c r="E17" s="85"/>
      <c r="F17" s="85"/>
      <c r="G17" s="85"/>
      <c r="H17" s="85"/>
      <c r="I17" s="85"/>
      <c r="J17" s="85"/>
      <c r="K17" s="85"/>
      <c r="L17" s="85"/>
      <c r="M17" s="85"/>
      <c r="N17" s="85"/>
      <c r="O17" s="85"/>
      <c r="P17" s="85"/>
      <c r="Q17" s="85"/>
      <c r="R17" s="85"/>
      <c r="S17" s="85"/>
      <c r="T17" s="85"/>
    </row>
    <row r="18" spans="1:21" s="3" customFormat="1" ht="43.5" customHeight="1" x14ac:dyDescent="0.25">
      <c r="A18" s="6">
        <v>4</v>
      </c>
      <c r="B18" s="7" t="s">
        <v>14</v>
      </c>
      <c r="C18" s="13" t="s">
        <v>70</v>
      </c>
      <c r="D18" s="15" t="s">
        <v>33</v>
      </c>
      <c r="E18" s="10" t="s">
        <v>17</v>
      </c>
      <c r="F18" s="19">
        <v>1</v>
      </c>
      <c r="G18" s="17">
        <f>SUM(H8:T8)*17%</f>
        <v>0</v>
      </c>
      <c r="H18" s="29">
        <v>0</v>
      </c>
      <c r="I18" s="29">
        <v>0</v>
      </c>
      <c r="J18" s="29">
        <v>0</v>
      </c>
      <c r="K18" s="29">
        <v>0</v>
      </c>
      <c r="L18" s="29">
        <v>0</v>
      </c>
      <c r="M18" s="29">
        <v>0</v>
      </c>
      <c r="N18" s="29">
        <v>0</v>
      </c>
      <c r="O18" s="29">
        <v>0</v>
      </c>
      <c r="P18" s="29">
        <v>0</v>
      </c>
      <c r="Q18" s="29">
        <v>0</v>
      </c>
      <c r="R18" s="29">
        <v>0</v>
      </c>
      <c r="S18" s="29">
        <v>0</v>
      </c>
      <c r="T18" s="29">
        <v>0</v>
      </c>
      <c r="U18" s="47">
        <f>IFERROR(SUM(H18:P18)/G18,0)*100</f>
        <v>0</v>
      </c>
    </row>
    <row r="19" spans="1:21" s="3" customFormat="1" ht="9" customHeight="1" x14ac:dyDescent="0.25">
      <c r="A19" s="101"/>
      <c r="B19" s="102"/>
      <c r="C19" s="102"/>
      <c r="D19" s="102"/>
      <c r="E19" s="102"/>
      <c r="F19" s="102"/>
      <c r="G19" s="102"/>
      <c r="H19" s="102"/>
      <c r="I19" s="102"/>
      <c r="J19" s="102"/>
      <c r="K19" s="102"/>
      <c r="L19" s="102"/>
      <c r="M19" s="102"/>
      <c r="N19" s="102"/>
      <c r="O19" s="102"/>
      <c r="P19" s="102"/>
      <c r="Q19" s="102"/>
      <c r="R19" s="102"/>
      <c r="S19" s="102"/>
      <c r="T19" s="102"/>
    </row>
    <row r="20" spans="1:21" s="3" customFormat="1" ht="15" customHeight="1" x14ac:dyDescent="0.25">
      <c r="A20" s="63">
        <v>5</v>
      </c>
      <c r="B20" s="65" t="s">
        <v>21</v>
      </c>
      <c r="C20" s="67" t="s">
        <v>67</v>
      </c>
      <c r="D20" s="69" t="s">
        <v>50</v>
      </c>
      <c r="E20" s="78" t="s">
        <v>47</v>
      </c>
      <c r="F20" s="79"/>
      <c r="G20" s="80"/>
      <c r="H20" s="22">
        <v>0</v>
      </c>
      <c r="I20" s="22">
        <v>0</v>
      </c>
      <c r="J20" s="22">
        <v>0</v>
      </c>
      <c r="K20" s="22">
        <v>0</v>
      </c>
      <c r="L20" s="22">
        <v>0</v>
      </c>
      <c r="M20" s="22">
        <v>0</v>
      </c>
      <c r="N20" s="22">
        <v>0</v>
      </c>
      <c r="O20" s="22">
        <v>0</v>
      </c>
      <c r="P20" s="22">
        <v>0</v>
      </c>
      <c r="Q20" s="22">
        <v>0</v>
      </c>
      <c r="R20" s="22">
        <v>0</v>
      </c>
      <c r="S20" s="22">
        <v>0</v>
      </c>
      <c r="T20" s="22">
        <v>0</v>
      </c>
      <c r="U20" s="77">
        <f>IFERROR(SUM(H21:T21)/G21,0)</f>
        <v>0</v>
      </c>
    </row>
    <row r="21" spans="1:21" s="3" customFormat="1" ht="59.25" customHeight="1" x14ac:dyDescent="0.25">
      <c r="A21" s="64"/>
      <c r="B21" s="66"/>
      <c r="C21" s="68"/>
      <c r="D21" s="70"/>
      <c r="E21" s="10" t="s">
        <v>17</v>
      </c>
      <c r="F21" s="19">
        <v>1</v>
      </c>
      <c r="G21" s="18">
        <f>SUM(H20:T20)</f>
        <v>0</v>
      </c>
      <c r="H21" s="27">
        <v>0</v>
      </c>
      <c r="I21" s="27">
        <v>0</v>
      </c>
      <c r="J21" s="27">
        <v>0</v>
      </c>
      <c r="K21" s="27">
        <v>0</v>
      </c>
      <c r="L21" s="27">
        <v>0</v>
      </c>
      <c r="M21" s="27">
        <v>0</v>
      </c>
      <c r="N21" s="27">
        <v>0</v>
      </c>
      <c r="O21" s="27">
        <v>0</v>
      </c>
      <c r="P21" s="27">
        <v>0</v>
      </c>
      <c r="Q21" s="27">
        <v>0</v>
      </c>
      <c r="R21" s="27">
        <v>0</v>
      </c>
      <c r="S21" s="27">
        <v>0</v>
      </c>
      <c r="T21" s="27">
        <v>0</v>
      </c>
      <c r="U21" s="77"/>
    </row>
    <row r="22" spans="1:21" s="3" customFormat="1" ht="9" customHeight="1" x14ac:dyDescent="0.25">
      <c r="A22" s="101"/>
      <c r="B22" s="102"/>
      <c r="C22" s="102"/>
      <c r="D22" s="102"/>
      <c r="E22" s="102"/>
      <c r="F22" s="102"/>
      <c r="G22" s="102"/>
      <c r="H22" s="102"/>
      <c r="I22" s="102"/>
      <c r="J22" s="102"/>
      <c r="K22" s="102"/>
      <c r="L22" s="102"/>
      <c r="M22" s="102"/>
      <c r="N22" s="102"/>
      <c r="O22" s="102"/>
      <c r="P22" s="102"/>
      <c r="Q22" s="102"/>
      <c r="R22" s="102"/>
      <c r="S22" s="102"/>
      <c r="T22" s="102"/>
    </row>
    <row r="23" spans="1:21" s="3" customFormat="1" ht="14.25" customHeight="1" x14ac:dyDescent="0.25">
      <c r="A23" s="73">
        <v>6</v>
      </c>
      <c r="B23" s="65" t="s">
        <v>64</v>
      </c>
      <c r="C23" s="67" t="s">
        <v>16</v>
      </c>
      <c r="D23" s="69" t="s">
        <v>51</v>
      </c>
      <c r="E23" s="78" t="s">
        <v>39</v>
      </c>
      <c r="F23" s="79"/>
      <c r="G23" s="80"/>
      <c r="H23" s="22">
        <f>H8*10%</f>
        <v>0</v>
      </c>
      <c r="I23" s="22">
        <f t="shared" ref="I23:T23" si="0">I8*10%</f>
        <v>0</v>
      </c>
      <c r="J23" s="22">
        <f t="shared" si="0"/>
        <v>0</v>
      </c>
      <c r="K23" s="22">
        <f t="shared" si="0"/>
        <v>0</v>
      </c>
      <c r="L23" s="22">
        <f t="shared" si="0"/>
        <v>0</v>
      </c>
      <c r="M23" s="22">
        <f t="shared" si="0"/>
        <v>0</v>
      </c>
      <c r="N23" s="22">
        <f t="shared" si="0"/>
        <v>0</v>
      </c>
      <c r="O23" s="22">
        <f t="shared" si="0"/>
        <v>0</v>
      </c>
      <c r="P23" s="22">
        <f t="shared" si="0"/>
        <v>0</v>
      </c>
      <c r="Q23" s="22">
        <f t="shared" si="0"/>
        <v>0</v>
      </c>
      <c r="R23" s="22">
        <f t="shared" si="0"/>
        <v>0</v>
      </c>
      <c r="S23" s="22">
        <f t="shared" si="0"/>
        <v>0</v>
      </c>
      <c r="T23" s="22">
        <f t="shared" si="0"/>
        <v>0</v>
      </c>
      <c r="U23" s="77">
        <f>IFERROR(SUM(Q24:T24)/(Q23+R23+S23+T23),0)</f>
        <v>0</v>
      </c>
    </row>
    <row r="24" spans="1:21" s="4" customFormat="1" ht="69" customHeight="1" x14ac:dyDescent="0.25">
      <c r="A24" s="74"/>
      <c r="B24" s="66"/>
      <c r="C24" s="68"/>
      <c r="D24" s="70"/>
      <c r="E24" s="10" t="s">
        <v>17</v>
      </c>
      <c r="F24" s="12">
        <v>0.1</v>
      </c>
      <c r="G24" s="48">
        <f>SUM(H23:P23)</f>
        <v>0</v>
      </c>
      <c r="H24" s="27">
        <v>0</v>
      </c>
      <c r="I24" s="27">
        <v>0</v>
      </c>
      <c r="J24" s="27">
        <v>0</v>
      </c>
      <c r="K24" s="27">
        <v>0</v>
      </c>
      <c r="L24" s="27">
        <v>0</v>
      </c>
      <c r="M24" s="27">
        <v>0</v>
      </c>
      <c r="N24" s="27">
        <v>0</v>
      </c>
      <c r="O24" s="27">
        <v>0</v>
      </c>
      <c r="P24" s="27">
        <v>0</v>
      </c>
      <c r="Q24" s="27">
        <v>0</v>
      </c>
      <c r="R24" s="27">
        <v>0</v>
      </c>
      <c r="S24" s="27">
        <v>0</v>
      </c>
      <c r="T24" s="27">
        <v>0</v>
      </c>
      <c r="U24" s="77"/>
    </row>
    <row r="25" spans="1:21" ht="30" customHeight="1" x14ac:dyDescent="0.25">
      <c r="A25" s="1" t="s">
        <v>42</v>
      </c>
      <c r="H25" s="107" t="s">
        <v>54</v>
      </c>
      <c r="I25" s="107"/>
      <c r="J25" s="107"/>
      <c r="K25" s="107"/>
    </row>
    <row r="26" spans="1:21" ht="30" customHeight="1" x14ac:dyDescent="0.25">
      <c r="H26" s="30"/>
      <c r="I26" s="31" t="s">
        <v>48</v>
      </c>
      <c r="J26" s="31"/>
    </row>
    <row r="27" spans="1:21" ht="30" customHeight="1" x14ac:dyDescent="0.25">
      <c r="H27" s="32"/>
      <c r="I27" s="31" t="s">
        <v>49</v>
      </c>
      <c r="J27" s="31"/>
    </row>
    <row r="28" spans="1:21" ht="30" customHeight="1" x14ac:dyDescent="0.25">
      <c r="H28" s="33"/>
      <c r="I28" s="31" t="s">
        <v>41</v>
      </c>
      <c r="J28" s="31"/>
    </row>
    <row r="29" spans="1:21" ht="23.25" customHeight="1" x14ac:dyDescent="0.25"/>
    <row r="30" spans="1:21" ht="15.6" x14ac:dyDescent="0.25">
      <c r="A30" s="97" t="s">
        <v>60</v>
      </c>
      <c r="B30" s="97"/>
      <c r="C30" s="97"/>
      <c r="D30" s="97"/>
      <c r="E30" s="97"/>
      <c r="F30" s="97"/>
      <c r="G30" s="97"/>
      <c r="H30" s="97"/>
      <c r="I30" s="97" t="s">
        <v>44</v>
      </c>
      <c r="J30" s="97"/>
      <c r="K30" s="97"/>
      <c r="L30" s="97"/>
      <c r="M30" s="97"/>
      <c r="N30" s="97"/>
      <c r="O30" s="97"/>
      <c r="P30" s="97"/>
      <c r="Q30" s="97"/>
      <c r="R30" s="97"/>
      <c r="S30" s="97"/>
      <c r="T30" s="97"/>
      <c r="U30" s="97"/>
    </row>
    <row r="31" spans="1:21" ht="15.6" x14ac:dyDescent="0.25">
      <c r="A31" s="88" t="s">
        <v>25</v>
      </c>
      <c r="B31" s="89"/>
      <c r="C31" s="90"/>
      <c r="D31" s="97" t="s">
        <v>26</v>
      </c>
      <c r="E31" s="97"/>
      <c r="F31" s="97"/>
      <c r="G31" s="97"/>
      <c r="H31" s="97"/>
      <c r="I31" s="97"/>
      <c r="J31" s="97"/>
      <c r="K31" s="97"/>
      <c r="L31" s="97"/>
      <c r="M31" s="97"/>
      <c r="N31" s="97"/>
      <c r="O31" s="97"/>
      <c r="P31" s="97"/>
      <c r="Q31" s="97"/>
      <c r="R31" s="97"/>
      <c r="S31" s="97"/>
      <c r="T31" s="97"/>
      <c r="U31" s="97"/>
    </row>
    <row r="32" spans="1:21" ht="13.8" x14ac:dyDescent="0.25">
      <c r="A32" s="5" t="s">
        <v>20</v>
      </c>
      <c r="B32" s="5" t="s">
        <v>19</v>
      </c>
      <c r="C32" s="5" t="s">
        <v>22</v>
      </c>
      <c r="D32" s="5" t="s">
        <v>24</v>
      </c>
      <c r="E32" s="5" t="s">
        <v>23</v>
      </c>
      <c r="F32" s="5" t="s">
        <v>29</v>
      </c>
      <c r="G32" s="115" t="s">
        <v>43</v>
      </c>
      <c r="H32" s="116"/>
      <c r="I32" s="112" t="s">
        <v>45</v>
      </c>
      <c r="J32" s="113"/>
      <c r="K32" s="113"/>
      <c r="L32" s="113"/>
      <c r="M32" s="113"/>
      <c r="N32" s="113"/>
      <c r="O32" s="113"/>
      <c r="P32" s="113"/>
      <c r="Q32" s="113"/>
      <c r="R32" s="113"/>
      <c r="S32" s="113"/>
      <c r="T32" s="114"/>
      <c r="U32" s="34" t="s">
        <v>46</v>
      </c>
    </row>
    <row r="33" spans="1:21" ht="41.4" x14ac:dyDescent="0.25">
      <c r="A33" s="63">
        <v>1</v>
      </c>
      <c r="B33" s="65" t="s">
        <v>63</v>
      </c>
      <c r="C33" s="67" t="s">
        <v>18</v>
      </c>
      <c r="D33" s="14" t="s">
        <v>27</v>
      </c>
      <c r="E33" s="11" t="s">
        <v>58</v>
      </c>
      <c r="F33" s="12">
        <v>1</v>
      </c>
      <c r="G33" s="108">
        <f>U8</f>
        <v>0</v>
      </c>
      <c r="H33" s="109"/>
      <c r="I33" s="49"/>
      <c r="J33" s="50"/>
      <c r="K33" s="50"/>
      <c r="L33" s="50"/>
      <c r="M33" s="50"/>
      <c r="N33" s="50"/>
      <c r="O33" s="50"/>
      <c r="P33" s="50"/>
      <c r="Q33" s="50"/>
      <c r="R33" s="50"/>
      <c r="S33" s="50"/>
      <c r="T33" s="51"/>
      <c r="U33" s="35"/>
    </row>
    <row r="34" spans="1:21" ht="41.4" x14ac:dyDescent="0.25">
      <c r="A34" s="103"/>
      <c r="B34" s="104"/>
      <c r="C34" s="68"/>
      <c r="D34" s="14" t="s">
        <v>27</v>
      </c>
      <c r="E34" s="11" t="s">
        <v>40</v>
      </c>
      <c r="F34" s="12">
        <v>1</v>
      </c>
      <c r="G34" s="108">
        <f>U9</f>
        <v>0</v>
      </c>
      <c r="H34" s="109"/>
      <c r="I34" s="36"/>
      <c r="J34" s="37"/>
      <c r="K34" s="37"/>
      <c r="L34" s="37"/>
      <c r="M34" s="37"/>
      <c r="N34" s="37"/>
      <c r="O34" s="37"/>
      <c r="P34" s="37"/>
      <c r="Q34" s="37"/>
      <c r="R34" s="37"/>
      <c r="S34" s="37"/>
      <c r="T34" s="38"/>
      <c r="U34" s="35"/>
    </row>
    <row r="35" spans="1:21" ht="56.25" customHeight="1" x14ac:dyDescent="0.25">
      <c r="A35" s="64"/>
      <c r="B35" s="66"/>
      <c r="C35" s="13" t="s">
        <v>36</v>
      </c>
      <c r="D35" s="15" t="s">
        <v>28</v>
      </c>
      <c r="E35" s="11" t="s">
        <v>17</v>
      </c>
      <c r="F35" s="12">
        <v>0.7</v>
      </c>
      <c r="G35" s="110">
        <f>U9</f>
        <v>0</v>
      </c>
      <c r="H35" s="111"/>
      <c r="I35" s="49"/>
      <c r="J35" s="50"/>
      <c r="K35" s="50"/>
      <c r="L35" s="50"/>
      <c r="M35" s="50"/>
      <c r="N35" s="50"/>
      <c r="O35" s="50"/>
      <c r="P35" s="50"/>
      <c r="Q35" s="50"/>
      <c r="R35" s="50"/>
      <c r="S35" s="50"/>
      <c r="T35" s="51"/>
      <c r="U35" s="35"/>
    </row>
    <row r="36" spans="1:21" ht="9" customHeight="1" x14ac:dyDescent="0.25">
      <c r="G36" s="24"/>
    </row>
    <row r="37" spans="1:21" ht="51.6" x14ac:dyDescent="0.25">
      <c r="A37" s="63">
        <v>2</v>
      </c>
      <c r="B37" s="65" t="s">
        <v>66</v>
      </c>
      <c r="C37" s="75" t="s">
        <v>69</v>
      </c>
      <c r="D37" s="14" t="s">
        <v>31</v>
      </c>
      <c r="E37" s="10" t="s">
        <v>17</v>
      </c>
      <c r="F37" s="10" t="s">
        <v>38</v>
      </c>
      <c r="G37" s="55">
        <f>U11</f>
        <v>0</v>
      </c>
      <c r="H37" s="57"/>
      <c r="I37" s="49"/>
      <c r="J37" s="50"/>
      <c r="K37" s="50"/>
      <c r="L37" s="50"/>
      <c r="M37" s="50"/>
      <c r="N37" s="50"/>
      <c r="O37" s="50"/>
      <c r="P37" s="50"/>
      <c r="Q37" s="50"/>
      <c r="R37" s="50"/>
      <c r="S37" s="50"/>
      <c r="T37" s="51"/>
      <c r="U37" s="35"/>
    </row>
    <row r="38" spans="1:21" ht="51" x14ac:dyDescent="0.25">
      <c r="A38" s="64"/>
      <c r="B38" s="66"/>
      <c r="C38" s="76"/>
      <c r="D38" s="15" t="s">
        <v>30</v>
      </c>
      <c r="E38" s="10" t="s">
        <v>17</v>
      </c>
      <c r="F38" s="10" t="s">
        <v>37</v>
      </c>
      <c r="G38" s="55">
        <f>U12</f>
        <v>0</v>
      </c>
      <c r="H38" s="56"/>
      <c r="I38" s="49"/>
      <c r="J38" s="50"/>
      <c r="K38" s="50"/>
      <c r="L38" s="50"/>
      <c r="M38" s="50"/>
      <c r="N38" s="50"/>
      <c r="O38" s="50"/>
      <c r="P38" s="50"/>
      <c r="Q38" s="50"/>
      <c r="R38" s="50"/>
      <c r="S38" s="50"/>
      <c r="T38" s="51"/>
      <c r="U38" s="35"/>
    </row>
    <row r="39" spans="1:21" ht="9" customHeight="1" x14ac:dyDescent="0.25"/>
    <row r="40" spans="1:21" ht="64.5" customHeight="1" x14ac:dyDescent="0.25">
      <c r="A40" s="63">
        <v>3</v>
      </c>
      <c r="B40" s="65" t="s">
        <v>13</v>
      </c>
      <c r="C40" s="75" t="s">
        <v>15</v>
      </c>
      <c r="D40" s="59" t="s">
        <v>17</v>
      </c>
      <c r="E40" s="40" t="s">
        <v>53</v>
      </c>
      <c r="F40" s="16">
        <v>207</v>
      </c>
      <c r="G40" s="55">
        <f>U15</f>
        <v>0</v>
      </c>
      <c r="H40" s="58"/>
      <c r="I40" s="49"/>
      <c r="J40" s="50"/>
      <c r="K40" s="50"/>
      <c r="L40" s="50"/>
      <c r="M40" s="50"/>
      <c r="N40" s="50"/>
      <c r="O40" s="50"/>
      <c r="P40" s="50"/>
      <c r="Q40" s="50"/>
      <c r="R40" s="50"/>
      <c r="S40" s="50"/>
      <c r="T40" s="51"/>
      <c r="U40" s="35"/>
    </row>
    <row r="41" spans="1:21" ht="71.25" customHeight="1" x14ac:dyDescent="0.25">
      <c r="A41" s="64"/>
      <c r="B41" s="66"/>
      <c r="C41" s="76"/>
      <c r="D41" s="60"/>
      <c r="E41" s="41" t="s">
        <v>40</v>
      </c>
      <c r="F41" s="16">
        <v>87</v>
      </c>
      <c r="G41" s="55">
        <f>U16</f>
        <v>0</v>
      </c>
      <c r="H41" s="58"/>
      <c r="I41" s="49"/>
      <c r="J41" s="50"/>
      <c r="K41" s="50"/>
      <c r="L41" s="50"/>
      <c r="M41" s="50"/>
      <c r="N41" s="50"/>
      <c r="O41" s="50"/>
      <c r="P41" s="50"/>
      <c r="Q41" s="50"/>
      <c r="R41" s="50"/>
      <c r="S41" s="50"/>
      <c r="T41" s="51"/>
      <c r="U41" s="35"/>
    </row>
    <row r="42" spans="1:21" ht="9" customHeight="1" x14ac:dyDescent="0.25">
      <c r="G42" s="3"/>
    </row>
    <row r="43" spans="1:21" ht="70.5" customHeight="1" x14ac:dyDescent="0.25">
      <c r="A43" s="6">
        <v>4</v>
      </c>
      <c r="B43" s="7" t="s">
        <v>14</v>
      </c>
      <c r="C43" s="13" t="s">
        <v>68</v>
      </c>
      <c r="D43" s="15" t="s">
        <v>33</v>
      </c>
      <c r="E43" s="10" t="s">
        <v>17</v>
      </c>
      <c r="F43" s="19">
        <v>1</v>
      </c>
      <c r="G43" s="53">
        <f>U18</f>
        <v>0</v>
      </c>
      <c r="H43" s="54"/>
      <c r="I43" s="49"/>
      <c r="J43" s="50"/>
      <c r="K43" s="50"/>
      <c r="L43" s="50"/>
      <c r="M43" s="50"/>
      <c r="N43" s="50"/>
      <c r="O43" s="50"/>
      <c r="P43" s="50"/>
      <c r="Q43" s="50"/>
      <c r="R43" s="50"/>
      <c r="S43" s="50"/>
      <c r="T43" s="51"/>
      <c r="U43" s="35"/>
    </row>
    <row r="44" spans="1:21" ht="9" customHeight="1" x14ac:dyDescent="0.25"/>
    <row r="45" spans="1:21" ht="41.25" customHeight="1" x14ac:dyDescent="0.25">
      <c r="A45" s="63">
        <v>5</v>
      </c>
      <c r="B45" s="65" t="s">
        <v>21</v>
      </c>
      <c r="C45" s="67" t="s">
        <v>67</v>
      </c>
      <c r="D45" s="69" t="s">
        <v>50</v>
      </c>
      <c r="E45" s="59" t="s">
        <v>17</v>
      </c>
      <c r="F45" s="71">
        <v>1</v>
      </c>
      <c r="G45" s="55">
        <f>U20</f>
        <v>0</v>
      </c>
      <c r="H45" s="56"/>
      <c r="I45" s="49"/>
      <c r="J45" s="50"/>
      <c r="K45" s="50"/>
      <c r="L45" s="50"/>
      <c r="M45" s="50"/>
      <c r="N45" s="50"/>
      <c r="O45" s="50"/>
      <c r="P45" s="50"/>
      <c r="Q45" s="50"/>
      <c r="R45" s="50"/>
      <c r="S45" s="50"/>
      <c r="T45" s="51"/>
      <c r="U45" s="35"/>
    </row>
    <row r="46" spans="1:21" ht="50.25" customHeight="1" x14ac:dyDescent="0.25">
      <c r="A46" s="64"/>
      <c r="B46" s="66"/>
      <c r="C46" s="68"/>
      <c r="D46" s="70"/>
      <c r="E46" s="60"/>
      <c r="F46" s="72"/>
      <c r="G46" s="55"/>
      <c r="H46" s="56"/>
      <c r="I46" s="49"/>
      <c r="J46" s="50"/>
      <c r="K46" s="50"/>
      <c r="L46" s="50"/>
      <c r="M46" s="50"/>
      <c r="N46" s="50"/>
      <c r="O46" s="50"/>
      <c r="P46" s="50"/>
      <c r="Q46" s="50"/>
      <c r="R46" s="50"/>
      <c r="S46" s="50"/>
      <c r="T46" s="51"/>
      <c r="U46" s="35"/>
    </row>
    <row r="47" spans="1:21" ht="9" customHeight="1" x14ac:dyDescent="0.25"/>
    <row r="48" spans="1:21" ht="30" customHeight="1" x14ac:dyDescent="0.25">
      <c r="A48" s="73">
        <v>6</v>
      </c>
      <c r="B48" s="65" t="s">
        <v>64</v>
      </c>
      <c r="C48" s="67" t="s">
        <v>16</v>
      </c>
      <c r="D48" s="69" t="s">
        <v>51</v>
      </c>
      <c r="E48" s="59" t="s">
        <v>17</v>
      </c>
      <c r="F48" s="61">
        <v>1</v>
      </c>
      <c r="G48" s="55">
        <f>U23</f>
        <v>0</v>
      </c>
      <c r="H48" s="56"/>
      <c r="I48" s="52"/>
      <c r="J48" s="52"/>
      <c r="K48" s="52"/>
      <c r="L48" s="52"/>
      <c r="M48" s="52"/>
      <c r="N48" s="52"/>
      <c r="O48" s="52"/>
      <c r="P48" s="52"/>
      <c r="Q48" s="52"/>
      <c r="R48" s="52"/>
      <c r="S48" s="52"/>
      <c r="T48" s="52"/>
      <c r="U48" s="52"/>
    </row>
    <row r="49" spans="1:21" ht="39.75" customHeight="1" x14ac:dyDescent="0.25">
      <c r="A49" s="74"/>
      <c r="B49" s="66"/>
      <c r="C49" s="68"/>
      <c r="D49" s="70"/>
      <c r="E49" s="60"/>
      <c r="F49" s="62"/>
      <c r="G49" s="55"/>
      <c r="H49" s="56"/>
      <c r="I49" s="52"/>
      <c r="J49" s="52"/>
      <c r="K49" s="52"/>
      <c r="L49" s="52"/>
      <c r="M49" s="52"/>
      <c r="N49" s="52"/>
      <c r="O49" s="52"/>
      <c r="P49" s="52"/>
      <c r="Q49" s="52"/>
      <c r="R49" s="52"/>
      <c r="S49" s="52"/>
      <c r="T49" s="52"/>
      <c r="U49" s="52"/>
    </row>
  </sheetData>
  <sheetProtection formatCells="0" formatColumns="0" formatRows="0" insertColumns="0" insertRows="0" insertHyperlinks="0" sort="0" autoFilter="0" pivotTables="0"/>
  <mergeCells count="86">
    <mergeCell ref="H25:K25"/>
    <mergeCell ref="A31:C31"/>
    <mergeCell ref="A33:A35"/>
    <mergeCell ref="B33:B35"/>
    <mergeCell ref="G33:H33"/>
    <mergeCell ref="G35:H35"/>
    <mergeCell ref="I30:U31"/>
    <mergeCell ref="I32:T32"/>
    <mergeCell ref="I33:T33"/>
    <mergeCell ref="I35:T35"/>
    <mergeCell ref="A30:H30"/>
    <mergeCell ref="D31:H31"/>
    <mergeCell ref="G32:H32"/>
    <mergeCell ref="C33:C34"/>
    <mergeCell ref="G34:H34"/>
    <mergeCell ref="A22:T22"/>
    <mergeCell ref="A14:A16"/>
    <mergeCell ref="A19:T19"/>
    <mergeCell ref="B14:B16"/>
    <mergeCell ref="C14:C16"/>
    <mergeCell ref="D14:D16"/>
    <mergeCell ref="A8:A9"/>
    <mergeCell ref="B8:B9"/>
    <mergeCell ref="A10:T10"/>
    <mergeCell ref="B11:B12"/>
    <mergeCell ref="A11:A12"/>
    <mergeCell ref="C11:C12"/>
    <mergeCell ref="A1:U1"/>
    <mergeCell ref="A3:U3"/>
    <mergeCell ref="A6:C6"/>
    <mergeCell ref="D6:G6"/>
    <mergeCell ref="Q6:T6"/>
    <mergeCell ref="H6:P6"/>
    <mergeCell ref="H5:T5"/>
    <mergeCell ref="A5:G5"/>
    <mergeCell ref="U5:U7"/>
    <mergeCell ref="U20:U21"/>
    <mergeCell ref="E14:G14"/>
    <mergeCell ref="A20:A21"/>
    <mergeCell ref="B20:B21"/>
    <mergeCell ref="C20:C21"/>
    <mergeCell ref="D20:D21"/>
    <mergeCell ref="E20:G20"/>
    <mergeCell ref="A17:T17"/>
    <mergeCell ref="E15:E16"/>
    <mergeCell ref="U23:U24"/>
    <mergeCell ref="A23:A24"/>
    <mergeCell ref="B23:B24"/>
    <mergeCell ref="C23:C24"/>
    <mergeCell ref="D23:D24"/>
    <mergeCell ref="E23:G23"/>
    <mergeCell ref="A37:A38"/>
    <mergeCell ref="B37:B38"/>
    <mergeCell ref="C37:C38"/>
    <mergeCell ref="A40:A41"/>
    <mergeCell ref="B40:B41"/>
    <mergeCell ref="C40:C41"/>
    <mergeCell ref="D40:D41"/>
    <mergeCell ref="F48:F49"/>
    <mergeCell ref="A45:A46"/>
    <mergeCell ref="B45:B46"/>
    <mergeCell ref="C45:C46"/>
    <mergeCell ref="D45:D46"/>
    <mergeCell ref="E45:E46"/>
    <mergeCell ref="F45:F46"/>
    <mergeCell ref="A48:A49"/>
    <mergeCell ref="B48:B49"/>
    <mergeCell ref="C48:C49"/>
    <mergeCell ref="D48:D49"/>
    <mergeCell ref="E48:E49"/>
    <mergeCell ref="G43:H43"/>
    <mergeCell ref="G45:H46"/>
    <mergeCell ref="G48:H49"/>
    <mergeCell ref="G37:H37"/>
    <mergeCell ref="G38:H38"/>
    <mergeCell ref="G40:H40"/>
    <mergeCell ref="G41:H41"/>
    <mergeCell ref="I45:T45"/>
    <mergeCell ref="I46:T46"/>
    <mergeCell ref="I48:T49"/>
    <mergeCell ref="U48:U49"/>
    <mergeCell ref="I37:T37"/>
    <mergeCell ref="I38:T38"/>
    <mergeCell ref="I40:T40"/>
    <mergeCell ref="I41:T41"/>
    <mergeCell ref="I43:T43"/>
  </mergeCells>
  <conditionalFormatting sqref="H18:T18">
    <cfRule type="colorScale" priority="31">
      <colorScale>
        <cfvo type="min"/>
        <cfvo type="max"/>
        <color rgb="FFF8696B"/>
        <color rgb="FFFCFCFF"/>
      </colorScale>
    </cfRule>
  </conditionalFormatting>
  <conditionalFormatting sqref="H9:T9">
    <cfRule type="colorScale" priority="24">
      <colorScale>
        <cfvo type="min"/>
        <cfvo type="percentile" val="50"/>
        <cfvo type="max"/>
        <color rgb="FFE98BD7"/>
        <color rgb="FFD5007F"/>
        <color rgb="FF950054"/>
      </colorScale>
    </cfRule>
  </conditionalFormatting>
  <conditionalFormatting sqref="H15:T16">
    <cfRule type="colorScale" priority="20">
      <colorScale>
        <cfvo type="min"/>
        <cfvo type="percentile" val="50"/>
        <cfvo type="max"/>
        <color rgb="FFE98BD7"/>
        <color rgb="FFD5007F"/>
        <color rgb="FF950054"/>
      </colorScale>
    </cfRule>
  </conditionalFormatting>
  <conditionalFormatting sqref="H18:T18">
    <cfRule type="colorScale" priority="18">
      <colorScale>
        <cfvo type="min"/>
        <cfvo type="percentile" val="50"/>
        <cfvo type="max"/>
        <color rgb="FFE98BD7"/>
        <color rgb="FFD5007F"/>
        <color rgb="FF950054"/>
      </colorScale>
    </cfRule>
  </conditionalFormatting>
  <conditionalFormatting sqref="H21:T21">
    <cfRule type="colorScale" priority="17">
      <colorScale>
        <cfvo type="min"/>
        <cfvo type="percentile" val="50"/>
        <cfvo type="max"/>
        <color rgb="FFE98BD7"/>
        <color rgb="FFD5007F"/>
        <color rgb="FF950054"/>
      </colorScale>
    </cfRule>
  </conditionalFormatting>
  <conditionalFormatting sqref="H11:T11">
    <cfRule type="colorScale" priority="16">
      <colorScale>
        <cfvo type="min"/>
        <cfvo type="percentile" val="50"/>
        <cfvo type="max"/>
        <color rgb="FFE98BD7"/>
        <color rgb="FFD5007F"/>
        <color rgb="FF950054"/>
      </colorScale>
    </cfRule>
  </conditionalFormatting>
  <conditionalFormatting sqref="H12:T12">
    <cfRule type="colorScale" priority="15">
      <colorScale>
        <cfvo type="min"/>
        <cfvo type="percentile" val="50"/>
        <cfvo type="max"/>
        <color rgb="FFE98BD7"/>
        <color rgb="FFD5007F"/>
        <color rgb="FF950054"/>
      </colorScale>
    </cfRule>
  </conditionalFormatting>
  <conditionalFormatting sqref="H24:T24">
    <cfRule type="colorScale" priority="14">
      <colorScale>
        <cfvo type="min"/>
        <cfvo type="percentile" val="50"/>
        <cfvo type="max"/>
        <color rgb="FFE98BD7"/>
        <color rgb="FFD5007F"/>
        <color rgb="FF950054"/>
      </colorScale>
    </cfRule>
  </conditionalFormatting>
  <conditionalFormatting sqref="G36:G38">
    <cfRule type="dataBar" priority="13">
      <dataBar>
        <cfvo type="min"/>
        <cfvo type="max"/>
        <color rgb="FFD6007B"/>
      </dataBar>
      <extLst>
        <ext xmlns:x14="http://schemas.microsoft.com/office/spreadsheetml/2009/9/main" uri="{B025F937-C7B1-47D3-B67F-A62EFF666E3E}">
          <x14:id>{D31511D3-1E0D-4F17-9AC3-34D51AB3C9C6}</x14:id>
        </ext>
      </extLst>
    </cfRule>
  </conditionalFormatting>
  <conditionalFormatting sqref="G42:G43 G40">
    <cfRule type="dataBar" priority="12">
      <dataBar>
        <cfvo type="min"/>
        <cfvo type="max"/>
        <color rgb="FFD6007B"/>
      </dataBar>
      <extLst>
        <ext xmlns:x14="http://schemas.microsoft.com/office/spreadsheetml/2009/9/main" uri="{B025F937-C7B1-47D3-B67F-A62EFF666E3E}">
          <x14:id>{EC3D1BEE-BDC6-4F97-9A04-DD1C330AA381}</x14:id>
        </ext>
      </extLst>
    </cfRule>
  </conditionalFormatting>
  <conditionalFormatting sqref="G45">
    <cfRule type="dataBar" priority="11">
      <dataBar>
        <cfvo type="min"/>
        <cfvo type="max"/>
        <color rgb="FFD6007B"/>
      </dataBar>
      <extLst>
        <ext xmlns:x14="http://schemas.microsoft.com/office/spreadsheetml/2009/9/main" uri="{B025F937-C7B1-47D3-B67F-A62EFF666E3E}">
          <x14:id>{7D1756A2-4DC2-4392-BBF2-86627791D7EF}</x14:id>
        </ext>
      </extLst>
    </cfRule>
  </conditionalFormatting>
  <conditionalFormatting sqref="G48">
    <cfRule type="dataBar" priority="10">
      <dataBar>
        <cfvo type="min"/>
        <cfvo type="max"/>
        <color rgb="FFD6007B"/>
      </dataBar>
      <extLst>
        <ext xmlns:x14="http://schemas.microsoft.com/office/spreadsheetml/2009/9/main" uri="{B025F937-C7B1-47D3-B67F-A62EFF666E3E}">
          <x14:id>{FD6CF545-E77D-445E-88D9-50EFA0351FFD}</x14:id>
        </ext>
      </extLst>
    </cfRule>
  </conditionalFormatting>
  <conditionalFormatting sqref="G33:G35">
    <cfRule type="dataBar" priority="8">
      <dataBar>
        <cfvo type="min"/>
        <cfvo type="max"/>
        <color rgb="FFD6007B"/>
      </dataBar>
      <extLst>
        <ext xmlns:x14="http://schemas.microsoft.com/office/spreadsheetml/2009/9/main" uri="{B025F937-C7B1-47D3-B67F-A62EFF666E3E}">
          <x14:id>{5E2AE621-6B6A-499C-978F-6731F7484EE6}</x14:id>
        </ext>
      </extLst>
    </cfRule>
  </conditionalFormatting>
  <conditionalFormatting sqref="G40:H41">
    <cfRule type="dataBar" priority="7">
      <dataBar>
        <cfvo type="min"/>
        <cfvo type="max"/>
        <color rgb="FFD6007B"/>
      </dataBar>
      <extLst>
        <ext xmlns:x14="http://schemas.microsoft.com/office/spreadsheetml/2009/9/main" uri="{B025F937-C7B1-47D3-B67F-A62EFF666E3E}">
          <x14:id>{C7D398B6-8760-492E-9F47-1137D7DC195D}</x14:id>
        </ext>
      </extLst>
    </cfRule>
  </conditionalFormatting>
  <conditionalFormatting sqref="U8:U24">
    <cfRule type="dataBar" priority="74">
      <dataBar>
        <cfvo type="min"/>
        <cfvo type="max"/>
        <color rgb="FFD6007B"/>
      </dataBar>
      <extLst>
        <ext xmlns:x14="http://schemas.microsoft.com/office/spreadsheetml/2009/9/main" uri="{B025F937-C7B1-47D3-B67F-A62EFF666E3E}">
          <x14:id>{F0E7B053-7A01-4A4C-A81D-4A65C93E7F67}</x14:id>
        </ext>
      </extLst>
    </cfRule>
  </conditionalFormatting>
  <conditionalFormatting sqref="H8:T8">
    <cfRule type="colorScale" priority="76">
      <colorScale>
        <cfvo type="min"/>
        <cfvo type="percentile" val="50"/>
        <cfvo type="max"/>
        <color rgb="FFE98BD7"/>
        <color rgb="FFD5007F"/>
        <color rgb="FF950054"/>
      </colorScale>
    </cfRule>
  </conditionalFormatting>
  <dataValidations count="1">
    <dataValidation showDropDown="1" showInputMessage="1" showErrorMessage="1" sqref="F11:F12 F15:F16 F18 F23:F24 F21 F48 F37:F38 F33:F35 F43 F45 E40:E41 F8:F9" xr:uid="{00000000-0002-0000-0000-000000000000}"/>
  </dataValidations>
  <pageMargins left="0.23622047244094491" right="0.23622047244094491" top="0.74803149606299213" bottom="0.74803149606299213" header="0.31496062992125984" footer="0.31496062992125984"/>
  <pageSetup paperSize="5" scale="68" fitToHeight="0" orientation="landscape" r:id="rId1"/>
  <drawing r:id="rId2"/>
  <legacyDrawingHF r:id="rId3"/>
  <extLst>
    <ext xmlns:x14="http://schemas.microsoft.com/office/spreadsheetml/2009/9/main" uri="{78C0D931-6437-407d-A8EE-F0AAD7539E65}">
      <x14:conditionalFormattings>
        <x14:conditionalFormatting xmlns:xm="http://schemas.microsoft.com/office/excel/2006/main">
          <x14:cfRule type="dataBar" id="{D31511D3-1E0D-4F17-9AC3-34D51AB3C9C6}">
            <x14:dataBar minLength="0" maxLength="100" gradient="0">
              <x14:cfvo type="autoMin"/>
              <x14:cfvo type="autoMax"/>
              <x14:negativeFillColor rgb="FFFF0000"/>
              <x14:axisColor rgb="FF000000"/>
            </x14:dataBar>
          </x14:cfRule>
          <xm:sqref>G36:G38</xm:sqref>
        </x14:conditionalFormatting>
        <x14:conditionalFormatting xmlns:xm="http://schemas.microsoft.com/office/excel/2006/main">
          <x14:cfRule type="dataBar" id="{EC3D1BEE-BDC6-4F97-9A04-DD1C330AA381}">
            <x14:dataBar minLength="0" maxLength="100" gradient="0">
              <x14:cfvo type="autoMin"/>
              <x14:cfvo type="autoMax"/>
              <x14:negativeFillColor rgb="FFFF0000"/>
              <x14:axisColor rgb="FF000000"/>
            </x14:dataBar>
          </x14:cfRule>
          <xm:sqref>G42:G43 G40</xm:sqref>
        </x14:conditionalFormatting>
        <x14:conditionalFormatting xmlns:xm="http://schemas.microsoft.com/office/excel/2006/main">
          <x14:cfRule type="dataBar" id="{7D1756A2-4DC2-4392-BBF2-86627791D7EF}">
            <x14:dataBar minLength="0" maxLength="100" gradient="0">
              <x14:cfvo type="autoMin"/>
              <x14:cfvo type="autoMax"/>
              <x14:negativeFillColor rgb="FFFF0000"/>
              <x14:axisColor rgb="FF000000"/>
            </x14:dataBar>
          </x14:cfRule>
          <xm:sqref>G45</xm:sqref>
        </x14:conditionalFormatting>
        <x14:conditionalFormatting xmlns:xm="http://schemas.microsoft.com/office/excel/2006/main">
          <x14:cfRule type="dataBar" id="{FD6CF545-E77D-445E-88D9-50EFA0351FFD}">
            <x14:dataBar minLength="0" maxLength="100" gradient="0">
              <x14:cfvo type="autoMin"/>
              <x14:cfvo type="autoMax"/>
              <x14:negativeFillColor rgb="FFFF0000"/>
              <x14:axisColor rgb="FF000000"/>
            </x14:dataBar>
          </x14:cfRule>
          <xm:sqref>G48</xm:sqref>
        </x14:conditionalFormatting>
        <x14:conditionalFormatting xmlns:xm="http://schemas.microsoft.com/office/excel/2006/main">
          <x14:cfRule type="dataBar" id="{5E2AE621-6B6A-499C-978F-6731F7484EE6}">
            <x14:dataBar minLength="0" maxLength="100" gradient="0">
              <x14:cfvo type="autoMin"/>
              <x14:cfvo type="autoMax"/>
              <x14:negativeFillColor rgb="FFFF0000"/>
              <x14:axisColor rgb="FF000000"/>
            </x14:dataBar>
          </x14:cfRule>
          <xm:sqref>G33:G35</xm:sqref>
        </x14:conditionalFormatting>
        <x14:conditionalFormatting xmlns:xm="http://schemas.microsoft.com/office/excel/2006/main">
          <x14:cfRule type="dataBar" id="{C7D398B6-8760-492E-9F47-1137D7DC195D}">
            <x14:dataBar minLength="0" maxLength="100" gradient="0">
              <x14:cfvo type="autoMin"/>
              <x14:cfvo type="autoMax"/>
              <x14:negativeFillColor rgb="FFFF0000"/>
              <x14:axisColor rgb="FF000000"/>
            </x14:dataBar>
          </x14:cfRule>
          <xm:sqref>G40:H41</xm:sqref>
        </x14:conditionalFormatting>
        <x14:conditionalFormatting xmlns:xm="http://schemas.microsoft.com/office/excel/2006/main">
          <x14:cfRule type="dataBar" id="{F0E7B053-7A01-4A4C-A81D-4A65C93E7F67}">
            <x14:dataBar minLength="0" maxLength="100" gradient="0">
              <x14:cfvo type="autoMin"/>
              <x14:cfvo type="autoMax"/>
              <x14:negativeFillColor rgb="FFFF0000"/>
              <x14:axisColor rgb="FF000000"/>
            </x14:dataBar>
          </x14:cfRule>
          <xm:sqref>U8:U24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38DB2D399C8AD4BAAAAFF52CCD54D7A" ma:contentTypeVersion="0" ma:contentTypeDescription="Crear nuevo documento." ma:contentTypeScope="" ma:versionID="6f5250e81cb3a8914aa284c5434f391a">
  <xsd:schema xmlns:xsd="http://www.w3.org/2001/XMLSchema" xmlns:xs="http://www.w3.org/2001/XMLSchema" xmlns:p="http://schemas.microsoft.com/office/2006/metadata/properties" xmlns:ns2="d4ea72f7-698a-4710-9b83-5c5b7609dc8a" targetNamespace="http://schemas.microsoft.com/office/2006/metadata/properties" ma:root="true" ma:fieldsID="4e339b20546a0314c9f5729d075ba64a" ns2:_="">
    <xsd:import namespace="d4ea72f7-698a-4710-9b83-5c5b7609dc8a"/>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ea72f7-698a-4710-9b83-5c5b7609dc8a" elementFormDefault="qualified">
    <xsd:import namespace="http://schemas.microsoft.com/office/2006/documentManagement/types"/>
    <xsd:import namespace="http://schemas.microsoft.com/office/infopath/2007/PartnerControls"/>
    <xsd:element name="_dlc_DocId" ma:index="8" nillable="true" ma:displayName="Valor de Id. de documento" ma:description="El valor del identificador de documento asignado a este elemento." ma:internalName="_dlc_DocId" ma:readOnly="true">
      <xsd:simpleType>
        <xsd:restriction base="dms:Text"/>
      </xsd:simpleType>
    </xsd:element>
    <xsd:element name="_dlc_DocIdUrl" ma:index="9"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entificador persistente" ma:description="Mantener el identificador al agregar."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d4ea72f7-698a-4710-9b83-5c5b7609dc8a">PJHJ36CWT4ZF-97-6373</_dlc_DocId>
    <_dlc_DocIdUrl xmlns="d4ea72f7-698a-4710-9b83-5c5b7609dc8a">
      <Url>http://intranet.itguardian.com.mx/Calidad/_layouts/DocIdRedir.aspx?ID=PJHJ36CWT4ZF-97-6373</Url>
      <Description>PJHJ36CWT4ZF-97-6373</Description>
    </_dlc_DocIdUrl>
  </documentManagement>
</p:properties>
</file>

<file path=customXml/itemProps1.xml><?xml version="1.0" encoding="utf-8"?>
<ds:datastoreItem xmlns:ds="http://schemas.openxmlformats.org/officeDocument/2006/customXml" ds:itemID="{B31DDFC6-AD0F-4E04-971E-D8C4E1D4B6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4ea72f7-698a-4710-9b83-5c5b7609dc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9B71567-3370-4945-A420-85B502E4E7EF}">
  <ds:schemaRefs>
    <ds:schemaRef ds:uri="http://schemas.microsoft.com/sharepoint/events"/>
  </ds:schemaRefs>
</ds:datastoreItem>
</file>

<file path=customXml/itemProps3.xml><?xml version="1.0" encoding="utf-8"?>
<ds:datastoreItem xmlns:ds="http://schemas.openxmlformats.org/officeDocument/2006/customXml" ds:itemID="{D4FC1A81-9E6B-41C7-9F3D-FADA198D6024}">
  <ds:schemaRefs>
    <ds:schemaRef ds:uri="http://schemas.microsoft.com/sharepoint/v3/contenttype/forms"/>
  </ds:schemaRefs>
</ds:datastoreItem>
</file>

<file path=customXml/itemProps4.xml><?xml version="1.0" encoding="utf-8"?>
<ds:datastoreItem xmlns:ds="http://schemas.openxmlformats.org/officeDocument/2006/customXml" ds:itemID="{C3185E0A-896A-4DE9-8F71-746092AC2565}">
  <ds:schemaRefs>
    <ds:schemaRef ds:uri="http://purl.org/dc/terms/"/>
    <ds:schemaRef ds:uri="http://schemas.microsoft.com/office/2006/metadata/properties"/>
    <ds:schemaRef ds:uri="http://www.w3.org/XML/1998/namespace"/>
    <ds:schemaRef ds:uri="http://purl.org/dc/dcmitype/"/>
    <ds:schemaRef ds:uri="http://schemas.microsoft.com/office/2006/documentManagement/types"/>
    <ds:schemaRef ds:uri="d4ea72f7-698a-4710-9b83-5c5b7609dc8a"/>
    <ds:schemaRef ds:uri="http://purl.org/dc/elements/1.1/"/>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Objetivos de la Calidad</vt:lpstr>
      <vt:lpstr>'Objetivos de la Calidad'!Títulos_a_imprimir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Ricardo Sánchez Sánchez</dc:creator>
  <cp:lastModifiedBy>OLVERA AGUILA JORGE ALFONSO</cp:lastModifiedBy>
  <cp:lastPrinted>2019-08-19T19:28:09Z</cp:lastPrinted>
  <dcterms:created xsi:type="dcterms:W3CDTF">2017-02-09T16:44:50Z</dcterms:created>
  <dcterms:modified xsi:type="dcterms:W3CDTF">2020-07-17T21:54:14Z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0x010100E38DB2D399C8AD4BAAAAFF52CCD54D7A</vt:lpwstr>
  </property>
  <property fmtid="{D5CDD505-2E9C-101B-9397-08002B2CF9AE}" pid="3" name="_dlc_DocIdItemGuid">
    <vt:lpwstr>c437e133-8383-47ca-8925-3c16fbcdbf98</vt:lpwstr>
  </property>
</Properties>
</file>