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-108" yWindow="-108" windowWidth="23256" windowHeight="12576"/>
  </bookViews>
  <sheets>
    <sheet name="Calendario de todo el año" sheetId="1" r:id="rId1"/>
  </sheets>
  <definedNames>
    <definedName name="Abr">DíasYSemanas+DATE(AñoNatural,4,1)-WEEKDAY(DATE(AñoNatural,4,1),OpciónDeDíaDeLaSemana)+1</definedName>
    <definedName name="Ago">DíasYSemanas+DATE(AñoNatural,8,1)-WEEKDAY(DATE(AñoNatural,8,1),OpciónDeDíaDeLaSemana)+1</definedName>
    <definedName name="AñoNatural">'Calendario de todo el año'!$A$3</definedName>
    <definedName name="_xlnm.Print_Area" localSheetId="0">'Calendario de todo el año'!$A$1:$AP$37</definedName>
    <definedName name="Calendario">DíasYSemanas+ DateOfFirst - WEEKDAY(DateOfFirst,2)</definedName>
    <definedName name="DíasDeLaSemana">{"Lunes","Martes","Miércoles","Jueves","Viernes","Sábado","Domingo"}</definedName>
    <definedName name="DíasYSemanas">{0,1,2,3,4,5,6} + {0;1;2;3;4;5}*7</definedName>
    <definedName name="Dic">DíasYSemanas+DATE(AñoNatural,12,1)-WEEKDAY(DATE(AñoNatural,12,1),OpciónDeDíaDeLaSemana)+1</definedName>
    <definedName name="Ene">DíasYSemanas+DATE(AñoNatural,1,1)-WEEKDAY(DATE(AñoNatural,1,1),OpciónDeDíaDeLaSemana)+1</definedName>
    <definedName name="Feb">DíasYSemanas+DATE(AñoNatural,2,1)-WEEKDAY(DATE(AñoNatural,2,1),OpciónDeDíaDeLaSemana)+1</definedName>
    <definedName name="InicioDeSemana">'Calendario de todo el año'!$J$1</definedName>
    <definedName name="Jul">DíasYSemanas+DATE(AñoNatural,7,1)-WEEKDAY(DATE(AñoNatural,7,1),OpciónDeDíaDeLaSemana)+1</definedName>
    <definedName name="Jun">DíasYSemanas+DATE(AñoNatural,6,1)-WEEKDAY(DATE(AñoNatural,6,1),OpciónDeDíaDeLaSemana)+1</definedName>
    <definedName name="Mar">DíasYSemanas+DATE(AñoNatural,3,1)-WEEKDAY(DATE(AñoNatural,3,1),OpciónDeDíaDeLaSemana)+1</definedName>
    <definedName name="May">DíasYSemanas+DATE(AñoNatural,5,1)-WEEKDAY(DATE(AñoNatural,5,1),OpciónDeDíaDeLaSemana)+1</definedName>
    <definedName name="Nov">DíasYSemanas+DATE(AñoNatural,11,1)-WEEKDAY(DATE(AñoNatural,11,1),OpciónDeDíaDeLaSemana)+1</definedName>
    <definedName name="Oct">DíasYSemanas+DATE(AñoNatural,10,1)-WEEKDAY(DATE(AñoNatural,10,1),OpciónDeDíaDeLaSemana)+1</definedName>
    <definedName name="OpciónDeDíaDeLaSemana">MATCH(InicioDeSemana,DíasDeLaSemana,0)+10</definedName>
    <definedName name="RegiónDeTítuloDeColumna1..H10.1">'Calendario de todo el año'!$A$5</definedName>
    <definedName name="RegiónDeTítuloDeColumna10..O26.1">'Calendario de todo el año'!$H$21</definedName>
    <definedName name="RegiónDeTítuloDeColumna11..V26.1">'Calendario de todo el año'!$O$21</definedName>
    <definedName name="RegiónDeTítuloDeColumna12..AC26.1">'Calendario de todo el año'!$V$21</definedName>
    <definedName name="RegiónDeTítuloDeColumna2..O10.1">'Calendario de todo el año'!$H$5</definedName>
    <definedName name="RegiónDeTítuloDeColumna3..V10.1">'Calendario de todo el año'!$O$5</definedName>
    <definedName name="RegiónDeTítuloDeColumna4..AC10.1">'Calendario de todo el año'!$V$5</definedName>
    <definedName name="RegiónDeTítuloDeColumna5..H18.1">'Calendario de todo el año'!$A$13</definedName>
    <definedName name="RegiónDeTítuloDeColumna6..O18.1">'Calendario de todo el año'!$H$13</definedName>
    <definedName name="RegiónDeTítuloDeColumna7..V18.1">'Calendario de todo el año'!$O$13</definedName>
    <definedName name="RegiónDeTítuloDeColumna8..AC18.1">'Calendario de todo el año'!$V$13</definedName>
    <definedName name="RegiónDeTítuloDeColumna9..H26.1">'Calendario de todo el año'!$A$21</definedName>
    <definedName name="RegiónDeTítuloDeFila1..K1">'Calendario de todo el año'!$A$1</definedName>
    <definedName name="Sep">DíasYSemanas+DATE(AñoNatural,9,1)-WEEKDAY(DATE(AñoNatural,9,1),OpciónDeDíaDeLaSemana)+1</definedName>
    <definedName name="TítulosDelDía">LEFT(TEXT('Calendario de todo el año'!$A$8:$G$8,"ddd"),2)</definedName>
    <definedName name="TítulosDelMes">UPPER(TEXT('Calendario de todo el año'!D5,"mmmm"))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2" i="1" l="1" a="1"/>
  <c r="V22" i="1" s="1"/>
  <c r="O22" i="1" a="1"/>
  <c r="O22" i="1" s="1"/>
  <c r="H22" i="1" a="1"/>
  <c r="H22" i="1" s="1"/>
  <c r="A22" i="1" a="1"/>
  <c r="A22" i="1" s="1"/>
  <c r="V14" i="1" a="1"/>
  <c r="V14" i="1" s="1"/>
  <c r="O14" i="1" a="1"/>
  <c r="O14" i="1" s="1"/>
  <c r="H14" i="1" a="1"/>
  <c r="H14" i="1" s="1"/>
  <c r="A14" i="1" a="1"/>
  <c r="F14" i="1" s="1"/>
  <c r="V6" i="1" a="1"/>
  <c r="V6" i="1" s="1"/>
  <c r="O6" i="1" a="1"/>
  <c r="O6" i="1" s="1"/>
  <c r="H6" i="1" a="1"/>
  <c r="H6" i="1" s="1"/>
  <c r="A6" i="1" a="1"/>
  <c r="A6" i="1" s="1"/>
  <c r="V27" i="1" l="1"/>
  <c r="X25" i="1"/>
  <c r="Z23" i="1"/>
  <c r="AA22" i="1"/>
  <c r="AA27" i="1"/>
  <c r="AB26" i="1"/>
  <c r="V26" i="1"/>
  <c r="W25" i="1"/>
  <c r="X24" i="1"/>
  <c r="Y23" i="1"/>
  <c r="Z22" i="1"/>
  <c r="Z27" i="1"/>
  <c r="AA26" i="1"/>
  <c r="AB25" i="1"/>
  <c r="V25" i="1"/>
  <c r="W24" i="1"/>
  <c r="X23" i="1"/>
  <c r="Y22" i="1"/>
  <c r="Y27" i="1"/>
  <c r="Z26" i="1"/>
  <c r="AA25" i="1"/>
  <c r="AB24" i="1"/>
  <c r="V24" i="1"/>
  <c r="W23" i="1"/>
  <c r="X22" i="1"/>
  <c r="AB27" i="1"/>
  <c r="W26" i="1"/>
  <c r="Y24" i="1"/>
  <c r="X27" i="1"/>
  <c r="Y26" i="1"/>
  <c r="Z25" i="1"/>
  <c r="AA24" i="1"/>
  <c r="AB23" i="1"/>
  <c r="V23" i="1"/>
  <c r="W22" i="1"/>
  <c r="W27" i="1"/>
  <c r="X26" i="1"/>
  <c r="Y25" i="1"/>
  <c r="Z24" i="1"/>
  <c r="AA23" i="1"/>
  <c r="AB22" i="1"/>
  <c r="S22" i="1"/>
  <c r="P26" i="1"/>
  <c r="R24" i="1"/>
  <c r="T22" i="1"/>
  <c r="U26" i="1"/>
  <c r="P25" i="1"/>
  <c r="R23" i="1"/>
  <c r="S27" i="1"/>
  <c r="T26" i="1"/>
  <c r="U25" i="1"/>
  <c r="O25" i="1"/>
  <c r="P24" i="1"/>
  <c r="Q23" i="1"/>
  <c r="R22" i="1"/>
  <c r="O27" i="1"/>
  <c r="Q25" i="1"/>
  <c r="S23" i="1"/>
  <c r="T27" i="1"/>
  <c r="O26" i="1"/>
  <c r="Q24" i="1"/>
  <c r="R27" i="1"/>
  <c r="S26" i="1"/>
  <c r="T25" i="1"/>
  <c r="U24" i="1"/>
  <c r="O24" i="1"/>
  <c r="P23" i="1"/>
  <c r="Q22" i="1"/>
  <c r="R26" i="1"/>
  <c r="S25" i="1"/>
  <c r="T24" i="1"/>
  <c r="U23" i="1"/>
  <c r="O23" i="1"/>
  <c r="P22" i="1"/>
  <c r="U27" i="1"/>
  <c r="Q27" i="1"/>
  <c r="P27" i="1"/>
  <c r="Q26" i="1"/>
  <c r="R25" i="1"/>
  <c r="S24" i="1"/>
  <c r="T23" i="1"/>
  <c r="U22" i="1"/>
  <c r="K24" i="1"/>
  <c r="M27" i="1"/>
  <c r="N26" i="1"/>
  <c r="H26" i="1"/>
  <c r="I25" i="1"/>
  <c r="J24" i="1"/>
  <c r="K23" i="1"/>
  <c r="L22" i="1"/>
  <c r="K22" i="1"/>
  <c r="J25" i="1"/>
  <c r="K27" i="1"/>
  <c r="L26" i="1"/>
  <c r="M25" i="1"/>
  <c r="N24" i="1"/>
  <c r="H24" i="1"/>
  <c r="I23" i="1"/>
  <c r="J22" i="1"/>
  <c r="H27" i="1"/>
  <c r="L23" i="1"/>
  <c r="M26" i="1"/>
  <c r="H25" i="1"/>
  <c r="J23" i="1"/>
  <c r="J27" i="1"/>
  <c r="K26" i="1"/>
  <c r="L25" i="1"/>
  <c r="M24" i="1"/>
  <c r="N23" i="1"/>
  <c r="H23" i="1"/>
  <c r="I22" i="1"/>
  <c r="N27" i="1"/>
  <c r="I26" i="1"/>
  <c r="M22" i="1"/>
  <c r="L27" i="1"/>
  <c r="N25" i="1"/>
  <c r="I24" i="1"/>
  <c r="I27" i="1"/>
  <c r="J26" i="1"/>
  <c r="K25" i="1"/>
  <c r="L24" i="1"/>
  <c r="M23" i="1"/>
  <c r="N22" i="1"/>
  <c r="C26" i="1"/>
  <c r="F23" i="1"/>
  <c r="A27" i="1"/>
  <c r="F27" i="1"/>
  <c r="G26" i="1"/>
  <c r="A26" i="1"/>
  <c r="B25" i="1"/>
  <c r="C24" i="1"/>
  <c r="D23" i="1"/>
  <c r="E22" i="1"/>
  <c r="B27" i="1"/>
  <c r="E24" i="1"/>
  <c r="G22" i="1"/>
  <c r="G27" i="1"/>
  <c r="B26" i="1"/>
  <c r="C25" i="1"/>
  <c r="D24" i="1"/>
  <c r="A20" i="1" s="1"/>
  <c r="E23" i="1"/>
  <c r="F22" i="1"/>
  <c r="E27" i="1"/>
  <c r="F26" i="1"/>
  <c r="G25" i="1"/>
  <c r="A25" i="1"/>
  <c r="B24" i="1"/>
  <c r="C23" i="1"/>
  <c r="D22" i="1"/>
  <c r="D27" i="1"/>
  <c r="F25" i="1"/>
  <c r="A24" i="1"/>
  <c r="B23" i="1"/>
  <c r="C22" i="1"/>
  <c r="D25" i="1"/>
  <c r="E26" i="1"/>
  <c r="G24" i="1"/>
  <c r="C27" i="1"/>
  <c r="D26" i="1"/>
  <c r="E25" i="1"/>
  <c r="F24" i="1"/>
  <c r="G23" i="1"/>
  <c r="A23" i="1"/>
  <c r="B22" i="1"/>
  <c r="AA19" i="1"/>
  <c r="AB18" i="1"/>
  <c r="V18" i="1"/>
  <c r="W17" i="1"/>
  <c r="X16" i="1"/>
  <c r="Z14" i="1"/>
  <c r="AB19" i="1"/>
  <c r="W18" i="1"/>
  <c r="X17" i="1"/>
  <c r="Y16" i="1"/>
  <c r="Y15" i="1"/>
  <c r="Z19" i="1"/>
  <c r="AA18" i="1"/>
  <c r="AB17" i="1"/>
  <c r="V17" i="1"/>
  <c r="W16" i="1"/>
  <c r="X15" i="1"/>
  <c r="Y14" i="1"/>
  <c r="Y19" i="1"/>
  <c r="Z18" i="1"/>
  <c r="AA17" i="1"/>
  <c r="AB16" i="1"/>
  <c r="V16" i="1"/>
  <c r="W15" i="1"/>
  <c r="X14" i="1"/>
  <c r="Z15" i="1"/>
  <c r="X19" i="1"/>
  <c r="Y18" i="1"/>
  <c r="Z17" i="1"/>
  <c r="AA16" i="1"/>
  <c r="AB15" i="1"/>
  <c r="V15" i="1"/>
  <c r="W14" i="1"/>
  <c r="V19" i="1"/>
  <c r="AA14" i="1"/>
  <c r="W19" i="1"/>
  <c r="X18" i="1"/>
  <c r="Y17" i="1"/>
  <c r="Z16" i="1"/>
  <c r="AA15" i="1"/>
  <c r="AB14" i="1"/>
  <c r="O19" i="1"/>
  <c r="R16" i="1"/>
  <c r="S19" i="1"/>
  <c r="T18" i="1"/>
  <c r="U17" i="1"/>
  <c r="O17" i="1"/>
  <c r="P16" i="1"/>
  <c r="Q15" i="1"/>
  <c r="R14" i="1"/>
  <c r="R19" i="1"/>
  <c r="S18" i="1"/>
  <c r="U16" i="1"/>
  <c r="O16" i="1"/>
  <c r="P15" i="1"/>
  <c r="Q14" i="1"/>
  <c r="U19" i="1"/>
  <c r="Q17" i="1"/>
  <c r="S15" i="1"/>
  <c r="U18" i="1"/>
  <c r="P17" i="1"/>
  <c r="R15" i="1"/>
  <c r="S14" i="1"/>
  <c r="Q19" i="1"/>
  <c r="R18" i="1"/>
  <c r="S17" i="1"/>
  <c r="T16" i="1"/>
  <c r="U15" i="1"/>
  <c r="O15" i="1"/>
  <c r="P14" i="1"/>
  <c r="P18" i="1"/>
  <c r="T14" i="1"/>
  <c r="T19" i="1"/>
  <c r="O18" i="1"/>
  <c r="Q16" i="1"/>
  <c r="T17" i="1"/>
  <c r="P19" i="1"/>
  <c r="Q18" i="1"/>
  <c r="R17" i="1"/>
  <c r="S16" i="1"/>
  <c r="T15" i="1"/>
  <c r="U14" i="1"/>
  <c r="I18" i="1"/>
  <c r="L15" i="1"/>
  <c r="M14" i="1"/>
  <c r="M19" i="1"/>
  <c r="N18" i="1"/>
  <c r="H18" i="1"/>
  <c r="I17" i="1"/>
  <c r="J16" i="1"/>
  <c r="K15" i="1"/>
  <c r="L14" i="1"/>
  <c r="K14" i="1"/>
  <c r="N19" i="1"/>
  <c r="K16" i="1"/>
  <c r="K19" i="1"/>
  <c r="M17" i="1"/>
  <c r="N16" i="1"/>
  <c r="H16" i="1"/>
  <c r="I15" i="1"/>
  <c r="J14" i="1"/>
  <c r="H19" i="1"/>
  <c r="L19" i="1"/>
  <c r="I16" i="1"/>
  <c r="J19" i="1"/>
  <c r="K18" i="1"/>
  <c r="L17" i="1"/>
  <c r="M16" i="1"/>
  <c r="N15" i="1"/>
  <c r="H15" i="1"/>
  <c r="I14" i="1"/>
  <c r="J17" i="1"/>
  <c r="M18" i="1"/>
  <c r="N17" i="1"/>
  <c r="H17" i="1"/>
  <c r="J15" i="1"/>
  <c r="L18" i="1"/>
  <c r="I19" i="1"/>
  <c r="J18" i="1"/>
  <c r="K17" i="1"/>
  <c r="L16" i="1"/>
  <c r="M15" i="1"/>
  <c r="N14" i="1"/>
  <c r="F19" i="1"/>
  <c r="G18" i="1"/>
  <c r="A18" i="1"/>
  <c r="B17" i="1"/>
  <c r="C16" i="1"/>
  <c r="D15" i="1"/>
  <c r="E14" i="1"/>
  <c r="F18" i="1"/>
  <c r="G17" i="1"/>
  <c r="A17" i="1"/>
  <c r="B16" i="1"/>
  <c r="C15" i="1"/>
  <c r="D14" i="1"/>
  <c r="C14" i="1"/>
  <c r="B19" i="1"/>
  <c r="C18" i="1"/>
  <c r="D17" i="1"/>
  <c r="E16" i="1"/>
  <c r="F15" i="1"/>
  <c r="G14" i="1"/>
  <c r="G19" i="1"/>
  <c r="A19" i="1"/>
  <c r="B18" i="1"/>
  <c r="C17" i="1"/>
  <c r="D16" i="1"/>
  <c r="E15" i="1"/>
  <c r="E19" i="1"/>
  <c r="D19" i="1"/>
  <c r="E18" i="1"/>
  <c r="F17" i="1"/>
  <c r="G16" i="1"/>
  <c r="A16" i="1"/>
  <c r="B15" i="1"/>
  <c r="C19" i="1"/>
  <c r="D18" i="1"/>
  <c r="E17" i="1"/>
  <c r="F16" i="1"/>
  <c r="G15" i="1"/>
  <c r="A15" i="1"/>
  <c r="B14" i="1"/>
  <c r="A14" i="1"/>
  <c r="Z6" i="1"/>
  <c r="AB11" i="1"/>
  <c r="V11" i="1"/>
  <c r="W10" i="1"/>
  <c r="X9" i="1"/>
  <c r="Y8" i="1"/>
  <c r="Z7" i="1"/>
  <c r="AA6" i="1"/>
  <c r="AA11" i="1"/>
  <c r="AB10" i="1"/>
  <c r="V10" i="1"/>
  <c r="W9" i="1"/>
  <c r="X8" i="1"/>
  <c r="Y7" i="1"/>
  <c r="Z11" i="1"/>
  <c r="AA10" i="1"/>
  <c r="AB9" i="1"/>
  <c r="V9" i="1"/>
  <c r="W8" i="1"/>
  <c r="X7" i="1"/>
  <c r="Y6" i="1"/>
  <c r="Z10" i="1"/>
  <c r="AA9" i="1"/>
  <c r="AB8" i="1"/>
  <c r="V8" i="1"/>
  <c r="W7" i="1"/>
  <c r="X6" i="1"/>
  <c r="X11" i="1"/>
  <c r="Y10" i="1"/>
  <c r="Z9" i="1"/>
  <c r="AA8" i="1"/>
  <c r="AB7" i="1"/>
  <c r="V7" i="1"/>
  <c r="W6" i="1"/>
  <c r="Y11" i="1"/>
  <c r="W11" i="1"/>
  <c r="X10" i="1"/>
  <c r="Y9" i="1"/>
  <c r="Z8" i="1"/>
  <c r="AA7" i="1"/>
  <c r="AB6" i="1"/>
  <c r="P10" i="1"/>
  <c r="R8" i="1"/>
  <c r="P9" i="1"/>
  <c r="S6" i="1"/>
  <c r="S11" i="1"/>
  <c r="T10" i="1"/>
  <c r="U9" i="1"/>
  <c r="O9" i="1"/>
  <c r="P8" i="1"/>
  <c r="Q7" i="1"/>
  <c r="R6" i="1"/>
  <c r="Q6" i="1"/>
  <c r="U11" i="1"/>
  <c r="Q9" i="1"/>
  <c r="S7" i="1"/>
  <c r="P6" i="1"/>
  <c r="O11" i="1"/>
  <c r="T6" i="1"/>
  <c r="T11" i="1"/>
  <c r="U10" i="1"/>
  <c r="O10" i="1"/>
  <c r="Q8" i="1"/>
  <c r="R7" i="1"/>
  <c r="R11" i="1"/>
  <c r="S10" i="1"/>
  <c r="T9" i="1"/>
  <c r="U8" i="1"/>
  <c r="O8" i="1"/>
  <c r="P7" i="1"/>
  <c r="Q11" i="1"/>
  <c r="R10" i="1"/>
  <c r="S9" i="1"/>
  <c r="T8" i="1"/>
  <c r="U7" i="1"/>
  <c r="O7" i="1"/>
  <c r="P11" i="1"/>
  <c r="Q10" i="1"/>
  <c r="R9" i="1"/>
  <c r="S8" i="1"/>
  <c r="T7" i="1"/>
  <c r="U6" i="1"/>
  <c r="L6" i="1"/>
  <c r="K6" i="1"/>
  <c r="J6" i="1"/>
  <c r="N11" i="1"/>
  <c r="I10" i="1"/>
  <c r="L7" i="1"/>
  <c r="M11" i="1"/>
  <c r="H10" i="1"/>
  <c r="J8" i="1"/>
  <c r="K7" i="1"/>
  <c r="M10" i="1"/>
  <c r="H9" i="1"/>
  <c r="I8" i="1"/>
  <c r="J7" i="1"/>
  <c r="K11" i="1"/>
  <c r="L10" i="1"/>
  <c r="M9" i="1"/>
  <c r="N8" i="1"/>
  <c r="H8" i="1"/>
  <c r="I7" i="1"/>
  <c r="J11" i="1"/>
  <c r="K10" i="1"/>
  <c r="L9" i="1"/>
  <c r="M8" i="1"/>
  <c r="N7" i="1"/>
  <c r="H7" i="1"/>
  <c r="I6" i="1"/>
  <c r="H11" i="1"/>
  <c r="J9" i="1"/>
  <c r="K8" i="1"/>
  <c r="M6" i="1"/>
  <c r="N10" i="1"/>
  <c r="I9" i="1"/>
  <c r="L11" i="1"/>
  <c r="N9" i="1"/>
  <c r="I11" i="1"/>
  <c r="J10" i="1"/>
  <c r="K9" i="1"/>
  <c r="L8" i="1"/>
  <c r="M7" i="1"/>
  <c r="N6" i="1"/>
  <c r="B10" i="1"/>
  <c r="D8" i="1"/>
  <c r="A4" i="1" s="1"/>
  <c r="G10" i="1"/>
  <c r="A10" i="1"/>
  <c r="B9" i="1"/>
  <c r="C8" i="1"/>
  <c r="D7" i="1"/>
  <c r="E6" i="1"/>
  <c r="G11" i="1"/>
  <c r="E11" i="1"/>
  <c r="G9" i="1"/>
  <c r="B8" i="1"/>
  <c r="C7" i="1"/>
  <c r="D6" i="1"/>
  <c r="C6" i="1"/>
  <c r="A11" i="1"/>
  <c r="F6" i="1"/>
  <c r="F11" i="1"/>
  <c r="E9" i="1"/>
  <c r="B6" i="1"/>
  <c r="C9" i="1"/>
  <c r="E7" i="1"/>
  <c r="F10" i="1"/>
  <c r="A9" i="1"/>
  <c r="D11" i="1"/>
  <c r="E10" i="1"/>
  <c r="F9" i="1"/>
  <c r="G8" i="1"/>
  <c r="A8" i="1"/>
  <c r="B7" i="1"/>
  <c r="C11" i="1"/>
  <c r="D10" i="1"/>
  <c r="F8" i="1"/>
  <c r="G7" i="1"/>
  <c r="A7" i="1"/>
  <c r="B11" i="1"/>
  <c r="C10" i="1"/>
  <c r="D9" i="1"/>
  <c r="E8" i="1"/>
  <c r="F7" i="1"/>
  <c r="G6" i="1"/>
  <c r="A12" i="1" l="1"/>
  <c r="H4" i="1"/>
  <c r="O20" i="1"/>
  <c r="V20" i="1"/>
  <c r="O4" i="1"/>
  <c r="H12" i="1"/>
  <c r="O12" i="1"/>
  <c r="H20" i="1"/>
  <c r="V4" i="1"/>
  <c r="V12" i="1"/>
  <c r="H21" i="1" a="1"/>
  <c r="V5" i="1" a="1"/>
  <c r="O5" i="1" a="1"/>
  <c r="O21" i="1" a="1"/>
  <c r="A13" i="1" a="1"/>
  <c r="V21" i="1" a="1"/>
  <c r="H13" i="1" a="1"/>
  <c r="H5" i="1" a="1"/>
  <c r="A21" i="1" a="1"/>
  <c r="A5" i="1" a="1"/>
  <c r="V13" i="1" a="1"/>
  <c r="O13" i="1" a="1"/>
  <c r="U13" i="1" l="1"/>
  <c r="P13" i="1"/>
  <c r="Q13" i="1"/>
  <c r="R13" i="1"/>
  <c r="S13" i="1"/>
  <c r="T13" i="1"/>
  <c r="O13" i="1"/>
  <c r="AB21" i="1"/>
  <c r="W21" i="1"/>
  <c r="X21" i="1"/>
  <c r="Y21" i="1"/>
  <c r="Z21" i="1"/>
  <c r="AA21" i="1"/>
  <c r="V21" i="1"/>
  <c r="AB13" i="1"/>
  <c r="W13" i="1"/>
  <c r="X13" i="1"/>
  <c r="Y13" i="1"/>
  <c r="AA13" i="1"/>
  <c r="Z13" i="1"/>
  <c r="V13" i="1"/>
  <c r="G13" i="1"/>
  <c r="B13" i="1"/>
  <c r="C13" i="1"/>
  <c r="D13" i="1"/>
  <c r="E13" i="1"/>
  <c r="F13" i="1"/>
  <c r="A13" i="1"/>
  <c r="A5" i="1"/>
  <c r="G5" i="1"/>
  <c r="D5" i="1"/>
  <c r="C5" i="1"/>
  <c r="E5" i="1"/>
  <c r="F5" i="1"/>
  <c r="B5" i="1"/>
  <c r="U21" i="1"/>
  <c r="Q21" i="1"/>
  <c r="R21" i="1"/>
  <c r="P21" i="1"/>
  <c r="S21" i="1"/>
  <c r="T21" i="1"/>
  <c r="O21" i="1"/>
  <c r="G21" i="1"/>
  <c r="B21" i="1"/>
  <c r="C21" i="1"/>
  <c r="D21" i="1"/>
  <c r="E21" i="1"/>
  <c r="F21" i="1"/>
  <c r="A21" i="1"/>
  <c r="U5" i="1"/>
  <c r="S5" i="1"/>
  <c r="T5" i="1"/>
  <c r="O5" i="1"/>
  <c r="P5" i="1"/>
  <c r="Q5" i="1"/>
  <c r="R5" i="1"/>
  <c r="N5" i="1"/>
  <c r="M5" i="1"/>
  <c r="H5" i="1"/>
  <c r="J5" i="1"/>
  <c r="I5" i="1"/>
  <c r="K5" i="1"/>
  <c r="L5" i="1"/>
  <c r="AB5" i="1"/>
  <c r="X5" i="1"/>
  <c r="Y5" i="1"/>
  <c r="W5" i="1"/>
  <c r="Z5" i="1"/>
  <c r="AA5" i="1"/>
  <c r="V5" i="1"/>
  <c r="N13" i="1"/>
  <c r="M13" i="1"/>
  <c r="H13" i="1"/>
  <c r="I13" i="1"/>
  <c r="K13" i="1"/>
  <c r="J13" i="1"/>
  <c r="L13" i="1"/>
  <c r="N21" i="1"/>
  <c r="I21" i="1"/>
  <c r="J21" i="1"/>
  <c r="K21" i="1"/>
  <c r="L21" i="1"/>
  <c r="M21" i="1"/>
  <c r="H21" i="1"/>
</calcChain>
</file>

<file path=xl/sharedStrings.xml><?xml version="1.0" encoding="utf-8"?>
<sst xmlns="http://schemas.openxmlformats.org/spreadsheetml/2006/main" count="19" uniqueCount="18">
  <si>
    <t xml:space="preserve">SELECCIONE EL PRIMER DÍA DE LA SEMANA: </t>
  </si>
  <si>
    <t>DOMINGO</t>
  </si>
  <si>
    <t>Aprobó</t>
  </si>
  <si>
    <t>Elaboró</t>
  </si>
  <si>
    <t>Revisó</t>
  </si>
  <si>
    <t>Coordinador del SGC</t>
  </si>
  <si>
    <t>Alta Dirección</t>
  </si>
  <si>
    <t>Mtro. Carlos Alberto Montero Catalán</t>
  </si>
  <si>
    <t>Dr. Marcos Rodríguez del Castillo</t>
  </si>
  <si>
    <t xml:space="preserve">
Lic. Marcelo Pineda Pineda</t>
  </si>
  <si>
    <t>L.A.P. Claudia Cardona Ramírez</t>
  </si>
  <si>
    <t xml:space="preserve">
C. Jorge Alfonso Olvera Águila</t>
  </si>
  <si>
    <t xml:space="preserve">
Ing. Julio César Fernández Hernández</t>
  </si>
  <si>
    <t xml:space="preserve">
Lic. Lilia Andrea Morales Benavides</t>
  </si>
  <si>
    <r>
      <rPr>
        <b/>
        <sz val="24"/>
        <color theme="1"/>
        <rFont val="Arial"/>
        <family val="2"/>
      </rPr>
      <t>SUGERENCIA:</t>
    </r>
    <r>
      <rPr>
        <sz val="24"/>
        <color theme="1"/>
        <rFont val="Arial"/>
        <family val="2"/>
      </rPr>
      <t xml:space="preserve"> Para cambiar el año natural, escriba sobre el año en la celda siguiente.</t>
    </r>
  </si>
  <si>
    <t xml:space="preserve">   Juntas de Revisiones al SGC (Alta Dirección)</t>
  </si>
  <si>
    <t xml:space="preserve">   Auditorias Internas fase I y II</t>
  </si>
  <si>
    <t xml:space="preserve">   Auditorias Externa de 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</si>
</sst>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26">
    <font>
      <sz val="11"/>
      <color theme="1" tint="0.1498764000366222"/>
      <name val="Euphemia"/>
      <family val="2"/>
      <scheme val="minor"/>
    </font>
    <font>
      <b/>
      <sz val="28"/>
      <color theme="4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1"/>
      <color theme="1" tint="0.1498764000366222"/>
      <name val="Century Gothic"/>
      <family val="2"/>
      <scheme val="major"/>
    </font>
    <font>
      <b/>
      <sz val="12"/>
      <color theme="4" tint="-0.24994659260841701"/>
      <name val="Century Gothic"/>
      <family val="2"/>
      <scheme val="major"/>
    </font>
    <font>
      <b/>
      <sz val="11"/>
      <color theme="4"/>
      <name val="Century Gothic"/>
      <family val="2"/>
      <scheme val="major"/>
    </font>
    <font>
      <sz val="11"/>
      <color theme="1" tint="0.1498764000366222"/>
      <name val="Euphemia"/>
      <family val="2"/>
      <scheme val="minor"/>
    </font>
    <font>
      <sz val="11"/>
      <color theme="1" tint="0.14996795556505021"/>
      <name val="Century Gothic"/>
      <family val="2"/>
      <scheme val="major"/>
    </font>
    <font>
      <sz val="11"/>
      <color theme="4"/>
      <name val="Century Gothic"/>
      <family val="2"/>
      <scheme val="major"/>
    </font>
    <font>
      <sz val="11"/>
      <color theme="0"/>
      <name val="Euphemia"/>
      <family val="2"/>
      <scheme val="minor"/>
    </font>
    <font>
      <b/>
      <sz val="28"/>
      <color theme="4"/>
      <name val="Arial"/>
      <family val="2"/>
    </font>
    <font>
      <sz val="24"/>
      <color theme="1" tint="0.1498764000366222"/>
      <name val="Arial"/>
      <family val="2"/>
    </font>
    <font>
      <b/>
      <sz val="24"/>
      <color theme="1" tint="0.1498764000366222"/>
      <name val="Arial"/>
      <family val="2"/>
    </font>
    <font>
      <sz val="24"/>
      <color rgb="FF262626"/>
      <name val="Arial"/>
      <family val="2"/>
    </font>
    <font>
      <b/>
      <sz val="24"/>
      <color rgb="FF262626"/>
      <name val="Arial"/>
      <family val="2"/>
    </font>
    <font>
      <b/>
      <sz val="28"/>
      <color theme="4" tint="-0.24994659260841701"/>
      <name val="Arial"/>
      <family val="2"/>
    </font>
    <font>
      <sz val="28"/>
      <color theme="1" tint="0.1498764000366222"/>
      <name val="Arial"/>
      <family val="2"/>
    </font>
    <font>
      <sz val="28"/>
      <color rgb="FF000000"/>
      <name val="Arial"/>
      <family val="2"/>
    </font>
    <font>
      <b/>
      <sz val="28"/>
      <color theme="1" tint="0.1498764000366222"/>
      <name val="Arial"/>
      <family val="2"/>
    </font>
    <font>
      <b/>
      <sz val="16"/>
      <color theme="1" tint="0.1498764000366222"/>
      <name val="Arial"/>
      <family val="2"/>
    </font>
    <font>
      <b/>
      <sz val="18"/>
      <color theme="1" tint="0.1498764000366222"/>
      <name val="Arial"/>
      <family val="2"/>
    </font>
    <font>
      <sz val="24"/>
      <color theme="1"/>
      <name val="Arial"/>
      <family val="2"/>
    </font>
    <font>
      <b/>
      <sz val="18"/>
      <color rgb="FF262626"/>
      <name val="Arial"/>
      <family val="2"/>
    </font>
    <font>
      <sz val="18"/>
      <color rgb="FF262626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Vertical">
        <bgColor theme="0" tint="-0.499984740745262"/>
      </patternFill>
    </fill>
    <fill>
      <patternFill patternType="lightHorizontal">
        <bgColor rgb="FFFFFF00"/>
      </patternFill>
    </fill>
  </fills>
  <borders count="25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 applyFill="0" applyBorder="0" applyProtection="0">
      <alignment horizontal="right"/>
    </xf>
    <xf numFmtId="0" fontId="7" fillId="3" borderId="2" applyProtection="0">
      <alignment horizontal="right" vertical="center"/>
    </xf>
    <xf numFmtId="0" fontId="4" fillId="0" borderId="1">
      <alignment horizontal="right"/>
    </xf>
    <xf numFmtId="0" fontId="5" fillId="0" borderId="0">
      <alignment horizontal="right"/>
    </xf>
    <xf numFmtId="0" fontId="2" fillId="2" borderId="0" applyNumberFormat="0" applyBorder="0" applyProtection="0">
      <alignment horizontal="center" vertical="center"/>
    </xf>
    <xf numFmtId="0" fontId="3" fillId="3" borderId="2">
      <alignment horizontal="right" vertical="center" indent="1"/>
    </xf>
    <xf numFmtId="0" fontId="1" fillId="0" borderId="0">
      <alignment horizontal="right"/>
    </xf>
    <xf numFmtId="0" fontId="8" fillId="0" borderId="0">
      <alignment horizontal="right"/>
    </xf>
    <xf numFmtId="164" fontId="6" fillId="0" borderId="0" applyFont="0" applyFill="0" applyBorder="0" applyProtection="0">
      <alignment horizontal="right"/>
    </xf>
    <xf numFmtId="0" fontId="9" fillId="4" borderId="0" applyNumberFormat="0" applyBorder="0" applyProtection="0">
      <alignment horizontal="center" vertical="center"/>
    </xf>
  </cellStyleXfs>
  <cellXfs count="102">
    <xf numFmtId="0" fontId="0" fillId="0" borderId="0" xfId="0">
      <alignment horizontal="right"/>
    </xf>
    <xf numFmtId="0" fontId="11" fillId="0" borderId="0" xfId="0" applyFont="1">
      <alignment horizontal="righ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5" borderId="0" xfId="0" applyFont="1" applyFill="1" applyAlignment="1">
      <alignment horizontal="right"/>
    </xf>
    <xf numFmtId="0" fontId="11" fillId="5" borderId="0" xfId="0" applyFont="1" applyFill="1">
      <alignment horizontal="right"/>
    </xf>
    <xf numFmtId="0" fontId="11" fillId="5" borderId="0" xfId="0" applyFont="1" applyFill="1" applyAlignment="1">
      <alignment horizontal="center"/>
    </xf>
    <xf numFmtId="0" fontId="14" fillId="0" borderId="0" xfId="0" applyFont="1" applyAlignment="1">
      <alignment vertical="center" wrapText="1"/>
    </xf>
    <xf numFmtId="0" fontId="13" fillId="5" borderId="0" xfId="0" applyFont="1" applyFill="1" applyAlignment="1">
      <alignment horizontal="left"/>
    </xf>
    <xf numFmtId="0" fontId="13" fillId="5" borderId="0" xfId="0" applyFont="1" applyFill="1" applyAlignment="1"/>
    <xf numFmtId="0" fontId="11" fillId="5" borderId="0" xfId="0" applyFont="1" applyFill="1" applyAlignment="1"/>
    <xf numFmtId="0" fontId="11" fillId="5" borderId="0" xfId="0" applyFont="1" applyFill="1" applyBorder="1">
      <alignment horizontal="right"/>
    </xf>
    <xf numFmtId="0" fontId="12" fillId="5" borderId="0" xfId="0" applyFont="1" applyFill="1" applyAlignment="1">
      <alignment horizontal="left"/>
    </xf>
    <xf numFmtId="0" fontId="11" fillId="0" borderId="0" xfId="0" applyFont="1" applyFill="1">
      <alignment horizontal="right"/>
    </xf>
    <xf numFmtId="0" fontId="21" fillId="0" borderId="0" xfId="0" applyFont="1" applyFill="1">
      <alignment horizontal="right"/>
    </xf>
    <xf numFmtId="0" fontId="10" fillId="0" borderId="10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164" fontId="16" fillId="5" borderId="14" xfId="8" applyFont="1" applyFill="1" applyBorder="1" applyAlignment="1">
      <alignment horizontal="center" vertical="center"/>
    </xf>
    <xf numFmtId="164" fontId="16" fillId="5" borderId="0" xfId="8" applyFont="1" applyFill="1" applyBorder="1" applyAlignment="1">
      <alignment horizontal="center" vertical="center"/>
    </xf>
    <xf numFmtId="164" fontId="16" fillId="5" borderId="13" xfId="8" applyFont="1" applyFill="1" applyBorder="1" applyAlignment="1">
      <alignment horizontal="center" vertical="center"/>
    </xf>
    <xf numFmtId="164" fontId="17" fillId="5" borderId="0" xfId="8" applyFont="1" applyFill="1" applyBorder="1" applyAlignment="1">
      <alignment horizontal="center" vertical="center"/>
    </xf>
    <xf numFmtId="164" fontId="17" fillId="5" borderId="13" xfId="8" applyFont="1" applyFill="1" applyBorder="1" applyAlignment="1">
      <alignment horizontal="center" vertical="center"/>
    </xf>
    <xf numFmtId="0" fontId="10" fillId="5" borderId="10" xfId="3" applyFont="1" applyFill="1" applyBorder="1" applyAlignment="1">
      <alignment horizontal="center" vertical="center"/>
    </xf>
    <xf numFmtId="0" fontId="10" fillId="5" borderId="11" xfId="3" applyFont="1" applyFill="1" applyBorder="1" applyAlignment="1">
      <alignment horizontal="center" vertical="center"/>
    </xf>
    <xf numFmtId="0" fontId="10" fillId="5" borderId="12" xfId="3" applyFont="1" applyFill="1" applyBorder="1" applyAlignment="1">
      <alignment horizontal="center" vertical="center"/>
    </xf>
    <xf numFmtId="164" fontId="18" fillId="5" borderId="0" xfId="8" applyFont="1" applyFill="1" applyBorder="1" applyAlignment="1">
      <alignment horizontal="center" vertical="center"/>
    </xf>
    <xf numFmtId="164" fontId="16" fillId="0" borderId="4" xfId="8" applyFont="1" applyFill="1" applyBorder="1" applyAlignment="1">
      <alignment horizontal="center" vertical="center"/>
    </xf>
    <xf numFmtId="164" fontId="16" fillId="0" borderId="5" xfId="8" applyFont="1" applyFill="1" applyBorder="1" applyAlignment="1">
      <alignment horizontal="center" vertical="center"/>
    </xf>
    <xf numFmtId="164" fontId="16" fillId="0" borderId="6" xfId="8" applyFont="1" applyFill="1" applyBorder="1" applyAlignment="1">
      <alignment horizontal="center" vertical="center"/>
    </xf>
    <xf numFmtId="164" fontId="16" fillId="0" borderId="0" xfId="8" applyFont="1" applyFill="1" applyBorder="1" applyAlignment="1">
      <alignment horizontal="center" vertical="center"/>
    </xf>
    <xf numFmtId="164" fontId="16" fillId="0" borderId="13" xfId="8" applyFont="1" applyFill="1" applyBorder="1" applyAlignment="1">
      <alignment horizontal="center" vertical="center"/>
    </xf>
    <xf numFmtId="164" fontId="16" fillId="0" borderId="14" xfId="8" applyFont="1" applyFill="1" applyBorder="1" applyAlignment="1">
      <alignment horizontal="center" vertical="center"/>
    </xf>
    <xf numFmtId="164" fontId="16" fillId="0" borderId="7" xfId="8" applyFont="1" applyFill="1" applyBorder="1" applyAlignment="1">
      <alignment horizontal="center" vertical="center"/>
    </xf>
    <xf numFmtId="164" fontId="16" fillId="0" borderId="8" xfId="8" applyFont="1" applyFill="1" applyBorder="1" applyAlignment="1">
      <alignment horizontal="center" vertical="center"/>
    </xf>
    <xf numFmtId="164" fontId="16" fillId="0" borderId="9" xfId="8" applyFont="1" applyFill="1" applyBorder="1" applyAlignment="1">
      <alignment horizontal="center" vertical="center"/>
    </xf>
    <xf numFmtId="164" fontId="11" fillId="0" borderId="0" xfId="8" applyFont="1" applyFill="1">
      <alignment horizontal="right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3" fillId="5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1" fillId="3" borderId="2" xfId="1" applyFont="1" applyAlignment="1">
      <alignment vertical="center" wrapText="1"/>
    </xf>
    <xf numFmtId="0" fontId="21" fillId="4" borderId="0" xfId="9" applyFont="1" applyBorder="1" applyAlignment="1">
      <alignment vertical="center"/>
    </xf>
    <xf numFmtId="0" fontId="21" fillId="3" borderId="2" xfId="5" applyFont="1" applyAlignment="1">
      <alignment vertical="center" wrapText="1"/>
    </xf>
    <xf numFmtId="0" fontId="21" fillId="0" borderId="0" xfId="0" applyFont="1">
      <alignment horizontal="right"/>
    </xf>
    <xf numFmtId="0" fontId="21" fillId="5" borderId="0" xfId="0" applyFont="1" applyFill="1">
      <alignment horizontal="right"/>
    </xf>
    <xf numFmtId="164" fontId="16" fillId="8" borderId="19" xfId="8" applyFont="1" applyFill="1" applyBorder="1" applyAlignment="1">
      <alignment horizontal="center" vertical="center"/>
    </xf>
    <xf numFmtId="164" fontId="16" fillId="8" borderId="20" xfId="8" applyFont="1" applyFill="1" applyBorder="1" applyAlignment="1">
      <alignment horizontal="center" vertical="center"/>
    </xf>
    <xf numFmtId="164" fontId="16" fillId="6" borderId="21" xfId="8" applyFont="1" applyFill="1" applyBorder="1" applyAlignment="1">
      <alignment horizontal="center" vertical="center"/>
    </xf>
    <xf numFmtId="164" fontId="16" fillId="6" borderId="22" xfId="8" applyFont="1" applyFill="1" applyBorder="1" applyAlignment="1">
      <alignment horizontal="center" vertical="center"/>
    </xf>
    <xf numFmtId="0" fontId="10" fillId="5" borderId="5" xfId="3" applyFont="1" applyFill="1" applyBorder="1" applyAlignment="1">
      <alignment horizontal="center" vertical="center"/>
    </xf>
    <xf numFmtId="164" fontId="16" fillId="6" borderId="23" xfId="8" applyFont="1" applyFill="1" applyBorder="1" applyAlignment="1">
      <alignment horizontal="center" vertical="center"/>
    </xf>
    <xf numFmtId="0" fontId="24" fillId="0" borderId="0" xfId="6" applyFont="1">
      <alignment horizontal="right"/>
    </xf>
    <xf numFmtId="0" fontId="25" fillId="0" borderId="0" xfId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5" fillId="5" borderId="10" xfId="2" applyFont="1" applyFill="1" applyBorder="1" applyAlignment="1">
      <alignment horizontal="center" vertical="center"/>
    </xf>
    <xf numFmtId="0" fontId="15" fillId="5" borderId="11" xfId="2" applyFont="1" applyFill="1" applyBorder="1" applyAlignment="1">
      <alignment horizontal="center" vertical="center"/>
    </xf>
    <xf numFmtId="0" fontId="15" fillId="5" borderId="12" xfId="2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4" fillId="5" borderId="0" xfId="0" applyFont="1" applyFill="1" applyAlignment="1">
      <alignment horizontal="left" vertical="center" wrapText="1"/>
    </xf>
    <xf numFmtId="164" fontId="11" fillId="6" borderId="21" xfId="8" applyFont="1" applyFill="1" applyBorder="1" applyAlignment="1">
      <alignment horizontal="center"/>
    </xf>
    <xf numFmtId="164" fontId="11" fillId="6" borderId="22" xfId="8" applyFont="1" applyFill="1" applyBorder="1" applyAlignment="1">
      <alignment horizontal="center"/>
    </xf>
    <xf numFmtId="164" fontId="11" fillId="7" borderId="17" xfId="8" applyFont="1" applyFill="1" applyBorder="1" applyAlignment="1">
      <alignment horizontal="center"/>
    </xf>
    <xf numFmtId="164" fontId="11" fillId="7" borderId="18" xfId="8" applyFont="1" applyFill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164" fontId="16" fillId="0" borderId="24" xfId="8" applyFont="1" applyFill="1" applyBorder="1" applyAlignment="1">
      <alignment horizontal="center" vertical="center"/>
    </xf>
  </cellXfs>
  <cellStyles count="10">
    <cellStyle name="Día" xfId="8"/>
    <cellStyle name="Encabezado 1" xfId="1" builtinId="16" customBuiltin="1"/>
    <cellStyle name="Encabezado 4" xfId="7" builtinId="19" customBuiltin="1"/>
    <cellStyle name="Énfasis5" xfId="9" builtinId="45" customBuiltin="1"/>
    <cellStyle name="Entrada" xfId="4" builtinId="20" customBuiltin="1"/>
    <cellStyle name="Normal" xfId="0" builtinId="0" customBuiltin="1"/>
    <cellStyle name="Notas" xfId="5" builtinId="10" customBuiltin="1"/>
    <cellStyle name="Título" xfId="6" builtinId="15" customBuiltin="1"/>
    <cellStyle name="Título 2" xfId="2" builtinId="17" customBuiltin="1"/>
    <cellStyle name="Título 3" xfId="3" builtinId="18" customBuiltin="1"/>
  </cellStyles>
  <dxfs count="1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D5007F"/>
      <color rgb="FF66FF66"/>
      <color rgb="FFBFBFBF"/>
      <color rgb="FFE0DCA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Global Calendar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/>
  </sheetPr>
  <dimension ref="A1:AP37"/>
  <sheetViews>
    <sheetView showGridLines="0" tabSelected="1" topLeftCell="A14" zoomScale="50" zoomScaleNormal="50" zoomScaleSheetLayoutView="40" zoomScalePageLayoutView="30" workbookViewId="0">
      <selection activeCell="AI23" sqref="AI23"/>
    </sheetView>
  </sheetViews>
  <sheetFormatPr baseColWidth="10" defaultColWidth="3.69921875" defaultRowHeight="18" customHeight="1"/>
  <cols>
    <col min="1" max="28" width="8.59765625" style="1" customWidth="1"/>
    <col min="29" max="29" width="3" style="1" customWidth="1"/>
    <col min="30" max="30" width="4" style="1" customWidth="1"/>
    <col min="31" max="31" width="5.69921875" style="1" customWidth="1"/>
    <col min="32" max="32" width="8.59765625" style="8" customWidth="1"/>
    <col min="33" max="33" width="8.59765625" style="1" customWidth="1"/>
    <col min="34" max="34" width="10" style="1" customWidth="1"/>
    <col min="35" max="35" width="12.59765625" style="1" customWidth="1"/>
    <col min="36" max="36" width="5.296875" style="1" customWidth="1"/>
    <col min="37" max="40" width="8.59765625" style="1" customWidth="1"/>
    <col min="41" max="41" width="3.59765625" style="1" customWidth="1"/>
    <col min="42" max="42" width="6.59765625" style="1" customWidth="1"/>
    <col min="43" max="16384" width="3.69921875" style="1"/>
  </cols>
  <sheetData>
    <row r="1" spans="1:42" s="47" customFormat="1" ht="141.6" hidden="1" customHeight="1" thickTop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5" t="s">
        <v>1</v>
      </c>
      <c r="K1" s="45"/>
      <c r="L1" s="45"/>
      <c r="M1" s="45"/>
      <c r="N1" s="45"/>
      <c r="O1" s="46" t="s">
        <v>14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F1" s="48"/>
    </row>
    <row r="2" spans="1:42" s="17" customFormat="1" ht="42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spans="1:42" s="47" customFormat="1" ht="34.799999999999997" customHeight="1">
      <c r="A3" s="55">
        <v>2021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F3" s="48"/>
    </row>
    <row r="4" spans="1:42" s="5" customFormat="1" ht="50.1" customHeight="1">
      <c r="A4" s="73" t="str">
        <f>TítulosDelMes</f>
        <v>ENERO</v>
      </c>
      <c r="B4" s="74"/>
      <c r="C4" s="74"/>
      <c r="D4" s="74"/>
      <c r="E4" s="74"/>
      <c r="F4" s="74"/>
      <c r="G4" s="75"/>
      <c r="H4" s="73" t="str">
        <f>TítulosDelMes</f>
        <v>FEBRERO</v>
      </c>
      <c r="I4" s="74"/>
      <c r="J4" s="74"/>
      <c r="K4" s="74"/>
      <c r="L4" s="74"/>
      <c r="M4" s="74"/>
      <c r="N4" s="75"/>
      <c r="O4" s="73" t="str">
        <f>TítulosDelMes</f>
        <v>MARZO</v>
      </c>
      <c r="P4" s="74"/>
      <c r="Q4" s="74"/>
      <c r="R4" s="74"/>
      <c r="S4" s="74"/>
      <c r="T4" s="74"/>
      <c r="U4" s="75"/>
      <c r="V4" s="73" t="str">
        <f>TítulosDelMes</f>
        <v>ABRIL</v>
      </c>
      <c r="W4" s="74"/>
      <c r="X4" s="74"/>
      <c r="Y4" s="74"/>
      <c r="Z4" s="74"/>
      <c r="AA4" s="74"/>
      <c r="AB4" s="75"/>
      <c r="AF4" s="9"/>
    </row>
    <row r="5" spans="1:42" ht="50.1" customHeight="1">
      <c r="A5" s="18" t="str">
        <f t="array" ref="A5:G5">TítulosDelDía</f>
        <v>do</v>
      </c>
      <c r="B5" s="19" t="str">
        <v>lu</v>
      </c>
      <c r="C5" s="19" t="str">
        <v>ma</v>
      </c>
      <c r="D5" s="19" t="str">
        <v>mi</v>
      </c>
      <c r="E5" s="19" t="str">
        <v>ju</v>
      </c>
      <c r="F5" s="19" t="str">
        <v>vi</v>
      </c>
      <c r="G5" s="20" t="str">
        <v>sá</v>
      </c>
      <c r="H5" s="18" t="str">
        <f t="array" ref="H5:N5">TítulosDelDía</f>
        <v>do</v>
      </c>
      <c r="I5" s="19" t="str">
        <v>lu</v>
      </c>
      <c r="J5" s="19" t="str">
        <v>ma</v>
      </c>
      <c r="K5" s="19" t="str">
        <v>mi</v>
      </c>
      <c r="L5" s="19" t="str">
        <v>ju</v>
      </c>
      <c r="M5" s="19" t="str">
        <v>vi</v>
      </c>
      <c r="N5" s="20" t="str">
        <v>sá</v>
      </c>
      <c r="O5" s="18" t="str">
        <f t="array" ref="O5:U5">TítulosDelDía</f>
        <v>do</v>
      </c>
      <c r="P5" s="19" t="str">
        <v>lu</v>
      </c>
      <c r="Q5" s="19" t="str">
        <v>ma</v>
      </c>
      <c r="R5" s="19" t="str">
        <v>mi</v>
      </c>
      <c r="S5" s="19" t="str">
        <v>ju</v>
      </c>
      <c r="T5" s="19" t="str">
        <v>vi</v>
      </c>
      <c r="U5" s="20" t="str">
        <v>sá</v>
      </c>
      <c r="V5" s="18" t="str">
        <f t="array" ref="V5:AB5">TítulosDelDía</f>
        <v>do</v>
      </c>
      <c r="W5" s="19" t="str">
        <v>lu</v>
      </c>
      <c r="X5" s="19" t="str">
        <v>ma</v>
      </c>
      <c r="Y5" s="19" t="str">
        <v>mi</v>
      </c>
      <c r="Z5" s="19" t="str">
        <v>ju</v>
      </c>
      <c r="AA5" s="19" t="str">
        <v>vi</v>
      </c>
      <c r="AB5" s="20" t="str">
        <v>sá</v>
      </c>
      <c r="AD5" s="8"/>
      <c r="AE5" s="8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</row>
    <row r="6" spans="1:42" ht="50.1" customHeight="1">
      <c r="A6" s="21">
        <f t="array" ref="A6:G11">Ene</f>
        <v>44192</v>
      </c>
      <c r="B6" s="22">
        <v>44193</v>
      </c>
      <c r="C6" s="22">
        <v>44194</v>
      </c>
      <c r="D6" s="22">
        <v>44195</v>
      </c>
      <c r="E6" s="22">
        <v>44196</v>
      </c>
      <c r="F6" s="22">
        <v>44197</v>
      </c>
      <c r="G6" s="23">
        <v>44198</v>
      </c>
      <c r="H6" s="21">
        <f t="array" ref="H6:N11">Feb</f>
        <v>44227</v>
      </c>
      <c r="I6" s="22">
        <v>44228</v>
      </c>
      <c r="J6" s="22">
        <v>44229</v>
      </c>
      <c r="K6" s="22">
        <v>44230</v>
      </c>
      <c r="L6" s="22">
        <v>44231</v>
      </c>
      <c r="M6" s="22">
        <v>44232</v>
      </c>
      <c r="N6" s="23">
        <v>44233</v>
      </c>
      <c r="O6" s="21">
        <f t="array" ref="O6:U11">Mar</f>
        <v>44255</v>
      </c>
      <c r="P6" s="22">
        <v>44256</v>
      </c>
      <c r="Q6" s="22">
        <v>44257</v>
      </c>
      <c r="R6" s="22">
        <v>44258</v>
      </c>
      <c r="S6" s="22">
        <v>44259</v>
      </c>
      <c r="T6" s="22">
        <v>44260</v>
      </c>
      <c r="U6" s="23">
        <v>44261</v>
      </c>
      <c r="V6" s="21">
        <f t="array" ref="V6:AB11">Abr</f>
        <v>44283</v>
      </c>
      <c r="W6" s="24">
        <v>44284</v>
      </c>
      <c r="X6" s="24">
        <v>44285</v>
      </c>
      <c r="Y6" s="24">
        <v>44286</v>
      </c>
      <c r="Z6" s="24">
        <v>44287</v>
      </c>
      <c r="AA6" s="24">
        <v>44288</v>
      </c>
      <c r="AB6" s="23">
        <v>44289</v>
      </c>
      <c r="AD6" s="7"/>
      <c r="AE6" s="8"/>
      <c r="AF6" s="7"/>
      <c r="AG6" s="7"/>
      <c r="AH6" s="11"/>
      <c r="AI6" s="12"/>
      <c r="AJ6" s="13"/>
      <c r="AK6" s="8"/>
      <c r="AL6" s="8"/>
      <c r="AM6" s="8"/>
      <c r="AN6" s="8"/>
      <c r="AO6" s="8"/>
      <c r="AP6" s="8"/>
    </row>
    <row r="7" spans="1:42" ht="50.1" customHeight="1">
      <c r="A7" s="21">
        <v>44199</v>
      </c>
      <c r="B7" s="22">
        <v>44200</v>
      </c>
      <c r="C7" s="22">
        <v>44201</v>
      </c>
      <c r="D7" s="22">
        <v>44202</v>
      </c>
      <c r="E7" s="22">
        <v>44203</v>
      </c>
      <c r="F7" s="22">
        <v>44204</v>
      </c>
      <c r="G7" s="23">
        <v>44205</v>
      </c>
      <c r="H7" s="21">
        <v>44234</v>
      </c>
      <c r="I7" s="22">
        <v>44235</v>
      </c>
      <c r="J7" s="22">
        <v>44236</v>
      </c>
      <c r="K7" s="22">
        <v>44237</v>
      </c>
      <c r="L7" s="22">
        <v>44238</v>
      </c>
      <c r="M7" s="22">
        <v>44239</v>
      </c>
      <c r="N7" s="23">
        <v>44240</v>
      </c>
      <c r="O7" s="21">
        <v>44262</v>
      </c>
      <c r="P7" s="22">
        <v>44263</v>
      </c>
      <c r="Q7" s="22">
        <v>44264</v>
      </c>
      <c r="R7" s="22">
        <v>44265</v>
      </c>
      <c r="S7" s="22">
        <v>44266</v>
      </c>
      <c r="T7" s="22">
        <v>44267</v>
      </c>
      <c r="U7" s="23">
        <v>44268</v>
      </c>
      <c r="V7" s="21">
        <v>44290</v>
      </c>
      <c r="W7" s="24">
        <v>44291</v>
      </c>
      <c r="X7" s="24">
        <v>44292</v>
      </c>
      <c r="Y7" s="24">
        <v>44293</v>
      </c>
      <c r="Z7" s="24">
        <v>44294</v>
      </c>
      <c r="AA7" s="24">
        <v>44295</v>
      </c>
      <c r="AB7" s="25">
        <v>44296</v>
      </c>
      <c r="AD7" s="14"/>
      <c r="AE7" s="8"/>
      <c r="AF7" s="15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50.1" customHeight="1" thickBot="1">
      <c r="A8" s="21">
        <v>44206</v>
      </c>
      <c r="B8" s="22">
        <v>44207</v>
      </c>
      <c r="C8" s="22">
        <v>44208</v>
      </c>
      <c r="D8" s="22">
        <v>44209</v>
      </c>
      <c r="E8" s="22">
        <v>44210</v>
      </c>
      <c r="F8" s="22">
        <v>44211</v>
      </c>
      <c r="G8" s="23">
        <v>44212</v>
      </c>
      <c r="H8" s="21">
        <v>44241</v>
      </c>
      <c r="I8" s="22">
        <v>44242</v>
      </c>
      <c r="J8" s="22">
        <v>44243</v>
      </c>
      <c r="K8" s="22">
        <v>44244</v>
      </c>
      <c r="L8" s="22">
        <v>44245</v>
      </c>
      <c r="M8" s="22">
        <v>44246</v>
      </c>
      <c r="N8" s="23">
        <v>44247</v>
      </c>
      <c r="O8" s="21">
        <v>44269</v>
      </c>
      <c r="P8" s="22">
        <v>44270</v>
      </c>
      <c r="Q8" s="22">
        <v>44271</v>
      </c>
      <c r="R8" s="22">
        <v>44272</v>
      </c>
      <c r="S8" s="22">
        <v>44273</v>
      </c>
      <c r="T8" s="22">
        <v>44274</v>
      </c>
      <c r="U8" s="23">
        <v>44275</v>
      </c>
      <c r="V8" s="21">
        <v>44297</v>
      </c>
      <c r="W8" s="22">
        <v>44298</v>
      </c>
      <c r="X8" s="24">
        <v>44299</v>
      </c>
      <c r="Y8" s="22">
        <v>44300</v>
      </c>
      <c r="Z8" s="22">
        <v>44301</v>
      </c>
      <c r="AA8" s="22">
        <v>44302</v>
      </c>
      <c r="AB8" s="23">
        <v>44303</v>
      </c>
      <c r="AD8" s="8"/>
      <c r="AE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50.1" customHeight="1" thickTop="1" thickBot="1">
      <c r="A9" s="21">
        <v>44213</v>
      </c>
      <c r="B9" s="22">
        <v>44214</v>
      </c>
      <c r="C9" s="22">
        <v>44215</v>
      </c>
      <c r="D9" s="22">
        <v>44216</v>
      </c>
      <c r="E9" s="22">
        <v>44217</v>
      </c>
      <c r="F9" s="22">
        <v>44218</v>
      </c>
      <c r="G9" s="23">
        <v>44219</v>
      </c>
      <c r="H9" s="21">
        <v>44248</v>
      </c>
      <c r="I9" s="22">
        <v>44249</v>
      </c>
      <c r="J9" s="22">
        <v>44250</v>
      </c>
      <c r="K9" s="22">
        <v>44251</v>
      </c>
      <c r="L9" s="22">
        <v>44252</v>
      </c>
      <c r="M9" s="22">
        <v>44253</v>
      </c>
      <c r="N9" s="23">
        <v>44254</v>
      </c>
      <c r="O9" s="21">
        <v>44276</v>
      </c>
      <c r="P9" s="22">
        <v>44277</v>
      </c>
      <c r="Q9" s="22">
        <v>44278</v>
      </c>
      <c r="R9" s="22">
        <v>44279</v>
      </c>
      <c r="S9" s="22">
        <v>44280</v>
      </c>
      <c r="T9" s="22">
        <v>44281</v>
      </c>
      <c r="U9" s="23">
        <v>44282</v>
      </c>
      <c r="V9" s="21">
        <v>44304</v>
      </c>
      <c r="W9" s="22">
        <v>44305</v>
      </c>
      <c r="X9" s="22">
        <v>44306</v>
      </c>
      <c r="Y9" s="22">
        <v>44307</v>
      </c>
      <c r="Z9" s="22">
        <v>44308</v>
      </c>
      <c r="AA9" s="22">
        <v>44309</v>
      </c>
      <c r="AB9" s="23">
        <v>44310</v>
      </c>
      <c r="AD9" s="66"/>
      <c r="AE9" s="67"/>
      <c r="AF9" s="60" t="s">
        <v>15</v>
      </c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ht="50.1" customHeight="1" thickTop="1" thickBot="1">
      <c r="A10" s="21">
        <v>44220</v>
      </c>
      <c r="B10" s="22">
        <v>44221</v>
      </c>
      <c r="C10" s="22">
        <v>44222</v>
      </c>
      <c r="D10" s="22">
        <v>44223</v>
      </c>
      <c r="E10" s="22">
        <v>44224</v>
      </c>
      <c r="F10" s="22">
        <v>44225</v>
      </c>
      <c r="G10" s="23">
        <v>44226</v>
      </c>
      <c r="H10" s="21">
        <v>44255</v>
      </c>
      <c r="I10" s="22">
        <v>44256</v>
      </c>
      <c r="J10" s="22">
        <v>44257</v>
      </c>
      <c r="K10" s="22">
        <v>44258</v>
      </c>
      <c r="L10" s="22">
        <v>44259</v>
      </c>
      <c r="M10" s="22">
        <v>44260</v>
      </c>
      <c r="N10" s="23">
        <v>44261</v>
      </c>
      <c r="O10" s="21">
        <v>44283</v>
      </c>
      <c r="P10" s="22">
        <v>44284</v>
      </c>
      <c r="Q10" s="22">
        <v>44285</v>
      </c>
      <c r="R10" s="22">
        <v>44286</v>
      </c>
      <c r="S10" s="22">
        <v>44287</v>
      </c>
      <c r="T10" s="22">
        <v>44288</v>
      </c>
      <c r="U10" s="23">
        <v>44289</v>
      </c>
      <c r="V10" s="21">
        <v>44311</v>
      </c>
      <c r="W10" s="22">
        <v>44312</v>
      </c>
      <c r="X10" s="22">
        <v>44313</v>
      </c>
      <c r="Y10" s="22">
        <v>44314</v>
      </c>
      <c r="Z10" s="22">
        <v>44315</v>
      </c>
      <c r="AA10" s="22">
        <v>44316</v>
      </c>
      <c r="AB10" s="23">
        <v>44317</v>
      </c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ht="50.1" customHeight="1" thickBot="1">
      <c r="A11" s="21">
        <v>44227</v>
      </c>
      <c r="B11" s="22">
        <v>44228</v>
      </c>
      <c r="C11" s="22">
        <v>44229</v>
      </c>
      <c r="D11" s="22">
        <v>44230</v>
      </c>
      <c r="E11" s="22">
        <v>44231</v>
      </c>
      <c r="F11" s="22">
        <v>44232</v>
      </c>
      <c r="G11" s="23">
        <v>44233</v>
      </c>
      <c r="H11" s="21">
        <v>44262</v>
      </c>
      <c r="I11" s="22">
        <v>44263</v>
      </c>
      <c r="J11" s="22">
        <v>44264</v>
      </c>
      <c r="K11" s="22">
        <v>44265</v>
      </c>
      <c r="L11" s="22">
        <v>44266</v>
      </c>
      <c r="M11" s="22">
        <v>44267</v>
      </c>
      <c r="N11" s="23">
        <v>44268</v>
      </c>
      <c r="O11" s="21">
        <v>44290</v>
      </c>
      <c r="P11" s="22">
        <v>44291</v>
      </c>
      <c r="Q11" s="22">
        <v>44292</v>
      </c>
      <c r="R11" s="22">
        <v>44293</v>
      </c>
      <c r="S11" s="22">
        <v>44294</v>
      </c>
      <c r="T11" s="22">
        <v>44295</v>
      </c>
      <c r="U11" s="23">
        <v>44296</v>
      </c>
      <c r="V11" s="21">
        <v>44318</v>
      </c>
      <c r="W11" s="22">
        <v>44319</v>
      </c>
      <c r="X11" s="22">
        <v>44320</v>
      </c>
      <c r="Y11" s="22">
        <v>44321</v>
      </c>
      <c r="Z11" s="22">
        <v>44322</v>
      </c>
      <c r="AA11" s="22">
        <v>44323</v>
      </c>
      <c r="AB11" s="23">
        <v>44324</v>
      </c>
      <c r="AD11" s="77"/>
      <c r="AE11" s="78"/>
      <c r="AF11" s="60" t="s">
        <v>16</v>
      </c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s="5" customFormat="1" ht="50.1" customHeight="1" thickBot="1">
      <c r="A12" s="63" t="str">
        <f>TítulosDelMes</f>
        <v>MAYO</v>
      </c>
      <c r="B12" s="64"/>
      <c r="C12" s="64"/>
      <c r="D12" s="64"/>
      <c r="E12" s="64"/>
      <c r="F12" s="64"/>
      <c r="G12" s="65"/>
      <c r="H12" s="63" t="str">
        <f>TítulosDelMes</f>
        <v>JUNIO</v>
      </c>
      <c r="I12" s="64"/>
      <c r="J12" s="64"/>
      <c r="K12" s="64"/>
      <c r="L12" s="64"/>
      <c r="M12" s="64"/>
      <c r="N12" s="65"/>
      <c r="O12" s="63" t="str">
        <f>TítulosDelMes</f>
        <v>JULIO</v>
      </c>
      <c r="P12" s="64"/>
      <c r="Q12" s="64"/>
      <c r="R12" s="64"/>
      <c r="S12" s="64"/>
      <c r="T12" s="64"/>
      <c r="U12" s="65"/>
      <c r="V12" s="63" t="str">
        <f>TítulosDelMes</f>
        <v>AGOSTO</v>
      </c>
      <c r="W12" s="64"/>
      <c r="X12" s="64"/>
      <c r="Y12" s="64"/>
      <c r="Z12" s="64"/>
      <c r="AA12" s="64"/>
      <c r="AB12" s="65"/>
      <c r="AD12" s="2"/>
      <c r="AE12" s="1"/>
      <c r="AF12" s="42"/>
      <c r="AG12" s="43"/>
      <c r="AH12" s="40"/>
      <c r="AI12" s="40"/>
      <c r="AJ12" s="41"/>
      <c r="AK12" s="41"/>
      <c r="AL12" s="41"/>
      <c r="AM12" s="41"/>
      <c r="AN12" s="41"/>
      <c r="AO12" s="41"/>
      <c r="AP12" s="41"/>
    </row>
    <row r="13" spans="1:42" ht="50.1" customHeight="1" thickTop="1" thickBot="1">
      <c r="A13" s="26" t="str">
        <f t="array" ref="A13:G13">TítulosDelDía</f>
        <v>do</v>
      </c>
      <c r="B13" s="27" t="str">
        <v>lu</v>
      </c>
      <c r="C13" s="27" t="str">
        <v>ma</v>
      </c>
      <c r="D13" s="27" t="str">
        <v>mi</v>
      </c>
      <c r="E13" s="27" t="str">
        <v>ju</v>
      </c>
      <c r="F13" s="27" t="str">
        <v>vi</v>
      </c>
      <c r="G13" s="28" t="str">
        <v>sá</v>
      </c>
      <c r="H13" s="26" t="str">
        <f t="array" ref="H13:N13">TítulosDelDía</f>
        <v>do</v>
      </c>
      <c r="I13" s="27" t="str">
        <v>lu</v>
      </c>
      <c r="J13" s="27" t="str">
        <v>ma</v>
      </c>
      <c r="K13" s="27" t="str">
        <v>mi</v>
      </c>
      <c r="L13" s="27" t="str">
        <v>ju</v>
      </c>
      <c r="M13" s="27" t="str">
        <v>vi</v>
      </c>
      <c r="N13" s="28" t="str">
        <v>sá</v>
      </c>
      <c r="O13" s="26" t="str">
        <f t="array" ref="O13:U13">TítulosDelDía</f>
        <v>do</v>
      </c>
      <c r="P13" s="27" t="str">
        <v>lu</v>
      </c>
      <c r="Q13" s="27" t="str">
        <v>ma</v>
      </c>
      <c r="R13" s="27" t="str">
        <v>mi</v>
      </c>
      <c r="S13" s="27" t="str">
        <v>ju</v>
      </c>
      <c r="T13" s="27" t="str">
        <v>vi</v>
      </c>
      <c r="U13" s="28" t="str">
        <v>sá</v>
      </c>
      <c r="V13" s="26" t="str">
        <f t="array" ref="V13:AB13">TítulosDelDía</f>
        <v>do</v>
      </c>
      <c r="W13" s="27" t="str">
        <v>lu</v>
      </c>
      <c r="X13" s="27" t="str">
        <v>ma</v>
      </c>
      <c r="Y13" s="27" t="str">
        <v>mi</v>
      </c>
      <c r="Z13" s="27" t="str">
        <v>ju</v>
      </c>
      <c r="AA13" s="27" t="str">
        <v>vi</v>
      </c>
      <c r="AB13" s="28" t="str">
        <v>sá</v>
      </c>
      <c r="AD13" s="79"/>
      <c r="AE13" s="80"/>
      <c r="AF13" s="60" t="s">
        <v>17</v>
      </c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ht="50.1" customHeight="1" thickTop="1">
      <c r="A14" s="21">
        <f t="array" ref="A14:G19">May</f>
        <v>44311</v>
      </c>
      <c r="B14" s="22">
        <v>44312</v>
      </c>
      <c r="C14" s="22">
        <v>44313</v>
      </c>
      <c r="D14" s="22">
        <v>44314</v>
      </c>
      <c r="E14" s="22">
        <v>44315</v>
      </c>
      <c r="F14" s="22">
        <v>44316</v>
      </c>
      <c r="G14" s="23">
        <v>44317</v>
      </c>
      <c r="H14" s="21">
        <f t="array" ref="H14:N19">Jun</f>
        <v>44346</v>
      </c>
      <c r="I14" s="22">
        <v>44347</v>
      </c>
      <c r="J14" s="22">
        <v>44348</v>
      </c>
      <c r="K14" s="22">
        <v>44349</v>
      </c>
      <c r="L14" s="22">
        <v>44350</v>
      </c>
      <c r="M14" s="22">
        <v>44351</v>
      </c>
      <c r="N14" s="23">
        <v>44352</v>
      </c>
      <c r="O14" s="21">
        <f t="array" ref="O14:U19">Jul</f>
        <v>44374</v>
      </c>
      <c r="P14" s="22">
        <v>44375</v>
      </c>
      <c r="Q14" s="22">
        <v>44376</v>
      </c>
      <c r="R14" s="22">
        <v>44377</v>
      </c>
      <c r="S14" s="22">
        <v>44378</v>
      </c>
      <c r="T14" s="22">
        <v>44379</v>
      </c>
      <c r="U14" s="23">
        <v>44380</v>
      </c>
      <c r="V14" s="21">
        <f t="array" ref="V14:AB19">Ago</f>
        <v>44409</v>
      </c>
      <c r="W14" s="22">
        <v>44410</v>
      </c>
      <c r="X14" s="22">
        <v>44411</v>
      </c>
      <c r="Y14" s="22">
        <v>44412</v>
      </c>
      <c r="Z14" s="22">
        <v>44413</v>
      </c>
      <c r="AA14" s="22">
        <v>44414</v>
      </c>
      <c r="AB14" s="23">
        <v>44415</v>
      </c>
      <c r="AD14" s="2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ht="50.1" customHeight="1">
      <c r="A15" s="21">
        <v>44318</v>
      </c>
      <c r="B15" s="22">
        <v>44319</v>
      </c>
      <c r="C15" s="22">
        <v>44320</v>
      </c>
      <c r="D15" s="22">
        <v>44321</v>
      </c>
      <c r="E15" s="22">
        <v>44322</v>
      </c>
      <c r="F15" s="22">
        <v>44323</v>
      </c>
      <c r="G15" s="23">
        <v>44324</v>
      </c>
      <c r="H15" s="21">
        <v>44353</v>
      </c>
      <c r="I15" s="29">
        <v>44354</v>
      </c>
      <c r="J15" s="29">
        <v>44355</v>
      </c>
      <c r="K15" s="22">
        <v>44356</v>
      </c>
      <c r="L15" s="22">
        <v>44357</v>
      </c>
      <c r="M15" s="22">
        <v>44358</v>
      </c>
      <c r="N15" s="23">
        <v>44359</v>
      </c>
      <c r="O15" s="21">
        <v>44381</v>
      </c>
      <c r="P15" s="22">
        <v>44382</v>
      </c>
      <c r="Q15" s="22">
        <v>44383</v>
      </c>
      <c r="R15" s="22">
        <v>44384</v>
      </c>
      <c r="S15" s="22">
        <v>44385</v>
      </c>
      <c r="T15" s="22">
        <v>44386</v>
      </c>
      <c r="U15" s="23">
        <v>44387</v>
      </c>
      <c r="V15" s="21">
        <v>44416</v>
      </c>
      <c r="W15" s="22">
        <v>44417</v>
      </c>
      <c r="X15" s="22">
        <v>44418</v>
      </c>
      <c r="Y15" s="22">
        <v>44419</v>
      </c>
      <c r="Z15" s="22">
        <v>44420</v>
      </c>
      <c r="AA15" s="22">
        <v>44421</v>
      </c>
      <c r="AB15" s="23">
        <v>44422</v>
      </c>
      <c r="AD15" s="39"/>
      <c r="AF15" s="61"/>
      <c r="AG15" s="61"/>
      <c r="AH15" s="61"/>
      <c r="AI15" s="61"/>
      <c r="AJ15" s="61"/>
      <c r="AK15" s="61"/>
      <c r="AL15" s="61"/>
      <c r="AM15" s="61"/>
      <c r="AN15" s="61"/>
      <c r="AO15" s="10"/>
      <c r="AP15" s="10"/>
    </row>
    <row r="16" spans="1:42" ht="50.1" customHeight="1" thickBot="1">
      <c r="A16" s="21">
        <v>44325</v>
      </c>
      <c r="B16" s="22">
        <v>44326</v>
      </c>
      <c r="C16" s="22">
        <v>44327</v>
      </c>
      <c r="D16" s="22">
        <v>44328</v>
      </c>
      <c r="E16" s="22">
        <v>44329</v>
      </c>
      <c r="F16" s="22">
        <v>44330</v>
      </c>
      <c r="G16" s="23">
        <v>44331</v>
      </c>
      <c r="H16" s="21">
        <v>44360</v>
      </c>
      <c r="I16" s="22">
        <v>44361</v>
      </c>
      <c r="J16" s="22">
        <v>44362</v>
      </c>
      <c r="K16" s="22">
        <v>44363</v>
      </c>
      <c r="L16" s="22">
        <v>44364</v>
      </c>
      <c r="M16" s="22">
        <v>44365</v>
      </c>
      <c r="N16" s="23">
        <v>44366</v>
      </c>
      <c r="O16" s="21">
        <v>44388</v>
      </c>
      <c r="P16" s="22">
        <v>44389</v>
      </c>
      <c r="Q16" s="22">
        <v>44390</v>
      </c>
      <c r="R16" s="22">
        <v>44391</v>
      </c>
      <c r="S16" s="22">
        <v>44392</v>
      </c>
      <c r="T16" s="22">
        <v>44393</v>
      </c>
      <c r="U16" s="23">
        <v>44394</v>
      </c>
      <c r="V16" s="21">
        <v>44423</v>
      </c>
      <c r="W16" s="22">
        <v>44424</v>
      </c>
      <c r="X16" s="22">
        <v>44425</v>
      </c>
      <c r="Y16" s="22">
        <v>44426</v>
      </c>
      <c r="Z16" s="22">
        <v>44427</v>
      </c>
      <c r="AA16" s="22">
        <v>44428</v>
      </c>
      <c r="AB16" s="23">
        <v>44429</v>
      </c>
      <c r="AD16" s="2"/>
    </row>
    <row r="17" spans="1:42" ht="50.1" customHeight="1" thickTop="1" thickBot="1">
      <c r="A17" s="21">
        <v>44332</v>
      </c>
      <c r="B17" s="22">
        <v>44333</v>
      </c>
      <c r="C17" s="22">
        <v>44334</v>
      </c>
      <c r="D17" s="22">
        <v>44335</v>
      </c>
      <c r="E17" s="22">
        <v>44336</v>
      </c>
      <c r="F17" s="22">
        <v>44337</v>
      </c>
      <c r="G17" s="23">
        <v>44338</v>
      </c>
      <c r="H17" s="21">
        <v>44367</v>
      </c>
      <c r="I17" s="22">
        <v>44368</v>
      </c>
      <c r="J17" s="22">
        <v>44369</v>
      </c>
      <c r="K17" s="22">
        <v>44370</v>
      </c>
      <c r="L17" s="22">
        <v>44371</v>
      </c>
      <c r="M17" s="22">
        <v>44372</v>
      </c>
      <c r="N17" s="23">
        <v>44373</v>
      </c>
      <c r="O17" s="21">
        <v>44395</v>
      </c>
      <c r="P17" s="22">
        <v>44396</v>
      </c>
      <c r="Q17" s="22">
        <v>44397</v>
      </c>
      <c r="R17" s="22">
        <v>44398</v>
      </c>
      <c r="S17" s="22">
        <v>44399</v>
      </c>
      <c r="T17" s="22">
        <v>44400</v>
      </c>
      <c r="U17" s="23">
        <v>44401</v>
      </c>
      <c r="V17" s="21">
        <v>44430</v>
      </c>
      <c r="W17" s="33">
        <v>44431</v>
      </c>
      <c r="X17" s="50">
        <v>44432</v>
      </c>
      <c r="Y17" s="33">
        <v>44433</v>
      </c>
      <c r="Z17" s="33">
        <v>44434</v>
      </c>
      <c r="AA17" s="33">
        <v>44435</v>
      </c>
      <c r="AB17" s="23">
        <v>44436</v>
      </c>
    </row>
    <row r="18" spans="1:42" ht="50.1" customHeight="1" thickBot="1">
      <c r="A18" s="21">
        <v>44339</v>
      </c>
      <c r="B18" s="22">
        <v>44340</v>
      </c>
      <c r="C18" s="22">
        <v>44341</v>
      </c>
      <c r="D18" s="22">
        <v>44342</v>
      </c>
      <c r="E18" s="22">
        <v>44343</v>
      </c>
      <c r="F18" s="22">
        <v>44344</v>
      </c>
      <c r="G18" s="23">
        <v>44345</v>
      </c>
      <c r="H18" s="21">
        <v>44374</v>
      </c>
      <c r="I18" s="22">
        <v>44375</v>
      </c>
      <c r="J18" s="22">
        <v>44376</v>
      </c>
      <c r="K18" s="22">
        <v>44377</v>
      </c>
      <c r="L18" s="22">
        <v>44378</v>
      </c>
      <c r="M18" s="22">
        <v>44379</v>
      </c>
      <c r="N18" s="23">
        <v>44380</v>
      </c>
      <c r="O18" s="21">
        <v>44402</v>
      </c>
      <c r="P18" s="22">
        <v>44403</v>
      </c>
      <c r="Q18" s="22">
        <v>44404</v>
      </c>
      <c r="R18" s="22">
        <v>44405</v>
      </c>
      <c r="S18" s="22">
        <v>44406</v>
      </c>
      <c r="T18" s="22">
        <v>44407</v>
      </c>
      <c r="U18" s="23">
        <v>44408</v>
      </c>
      <c r="V18" s="21">
        <v>44437</v>
      </c>
      <c r="W18" s="51">
        <v>44438</v>
      </c>
      <c r="X18" s="52">
        <v>44439</v>
      </c>
      <c r="Y18" s="22">
        <v>44440</v>
      </c>
      <c r="Z18" s="22">
        <v>44441</v>
      </c>
      <c r="AA18" s="22">
        <v>44442</v>
      </c>
      <c r="AB18" s="23">
        <v>44443</v>
      </c>
    </row>
    <row r="19" spans="1:42" ht="50.1" customHeight="1">
      <c r="A19" s="21">
        <v>44346</v>
      </c>
      <c r="B19" s="22">
        <v>44347</v>
      </c>
      <c r="C19" s="22">
        <v>44348</v>
      </c>
      <c r="D19" s="22">
        <v>44349</v>
      </c>
      <c r="E19" s="22">
        <v>44350</v>
      </c>
      <c r="F19" s="22">
        <v>44351</v>
      </c>
      <c r="G19" s="23">
        <v>44352</v>
      </c>
      <c r="H19" s="21">
        <v>44381</v>
      </c>
      <c r="I19" s="22">
        <v>44382</v>
      </c>
      <c r="J19" s="22">
        <v>44383</v>
      </c>
      <c r="K19" s="22">
        <v>44384</v>
      </c>
      <c r="L19" s="22">
        <v>44385</v>
      </c>
      <c r="M19" s="22">
        <v>44386</v>
      </c>
      <c r="N19" s="23">
        <v>44387</v>
      </c>
      <c r="O19" s="21">
        <v>44409</v>
      </c>
      <c r="P19" s="22">
        <v>44410</v>
      </c>
      <c r="Q19" s="22">
        <v>44411</v>
      </c>
      <c r="R19" s="22">
        <v>44412</v>
      </c>
      <c r="S19" s="22">
        <v>44413</v>
      </c>
      <c r="T19" s="22">
        <v>44414</v>
      </c>
      <c r="U19" s="23">
        <v>44415</v>
      </c>
      <c r="V19" s="21">
        <v>44444</v>
      </c>
      <c r="W19" s="22">
        <v>44445</v>
      </c>
      <c r="X19" s="22">
        <v>44446</v>
      </c>
      <c r="Y19" s="22">
        <v>44447</v>
      </c>
      <c r="Z19" s="22">
        <v>44448</v>
      </c>
      <c r="AA19" s="22">
        <v>44449</v>
      </c>
      <c r="AB19" s="23">
        <v>44450</v>
      </c>
    </row>
    <row r="20" spans="1:42" ht="50.1" customHeight="1">
      <c r="A20" s="63" t="str">
        <f>TítulosDelMes</f>
        <v>SEPTIEMBRE</v>
      </c>
      <c r="B20" s="64"/>
      <c r="C20" s="64"/>
      <c r="D20" s="64"/>
      <c r="E20" s="64"/>
      <c r="F20" s="64"/>
      <c r="G20" s="65"/>
      <c r="H20" s="63" t="str">
        <f>TítulosDelMes</f>
        <v>OCTUBRE</v>
      </c>
      <c r="I20" s="64"/>
      <c r="J20" s="64"/>
      <c r="K20" s="64"/>
      <c r="L20" s="64"/>
      <c r="M20" s="64"/>
      <c r="N20" s="65"/>
      <c r="O20" s="63" t="str">
        <f>TítulosDelMes</f>
        <v>NOVIEMBRE</v>
      </c>
      <c r="P20" s="64"/>
      <c r="Q20" s="64"/>
      <c r="R20" s="64"/>
      <c r="S20" s="64"/>
      <c r="T20" s="64"/>
      <c r="U20" s="65"/>
      <c r="V20" s="64" t="str">
        <f>TítulosDelMes</f>
        <v>DICIEMBRE</v>
      </c>
      <c r="W20" s="64"/>
      <c r="X20" s="64"/>
      <c r="Y20" s="64"/>
      <c r="Z20" s="64"/>
      <c r="AA20" s="64"/>
      <c r="AB20" s="65"/>
    </row>
    <row r="21" spans="1:42" ht="50.1" customHeight="1" thickBot="1">
      <c r="A21" s="26" t="str">
        <f t="array" ref="A21:G21">TítulosDelDía</f>
        <v>do</v>
      </c>
      <c r="B21" s="27" t="str">
        <v>lu</v>
      </c>
      <c r="C21" s="27" t="str">
        <v>ma</v>
      </c>
      <c r="D21" s="53" t="str">
        <v>mi</v>
      </c>
      <c r="E21" s="53" t="str">
        <v>ju</v>
      </c>
      <c r="F21" s="53" t="str">
        <v>vi</v>
      </c>
      <c r="G21" s="28" t="str">
        <v>sá</v>
      </c>
      <c r="H21" s="26" t="str">
        <f t="array" ref="H21:N21">TítulosDelDía</f>
        <v>do</v>
      </c>
      <c r="I21" s="27" t="str">
        <v>lu</v>
      </c>
      <c r="J21" s="27" t="str">
        <v>ma</v>
      </c>
      <c r="K21" s="27" t="str">
        <v>mi</v>
      </c>
      <c r="L21" s="27" t="str">
        <v>ju</v>
      </c>
      <c r="M21" s="53" t="str">
        <v>vi</v>
      </c>
      <c r="N21" s="28" t="str">
        <v>sá</v>
      </c>
      <c r="O21" s="26" t="str">
        <f t="array" ref="O21:U21">TítulosDelDía</f>
        <v>do</v>
      </c>
      <c r="P21" s="27" t="str">
        <v>lu</v>
      </c>
      <c r="Q21" s="27" t="str">
        <v>ma</v>
      </c>
      <c r="R21" s="27" t="str">
        <v>mi</v>
      </c>
      <c r="S21" s="27" t="str">
        <v>ju</v>
      </c>
      <c r="T21" s="27" t="str">
        <v>vi</v>
      </c>
      <c r="U21" s="28" t="str">
        <v>sá</v>
      </c>
      <c r="V21" s="26" t="str">
        <f t="array" ref="V21:AB21">TítulosDelDía</f>
        <v>do</v>
      </c>
      <c r="W21" s="27" t="str">
        <v>lu</v>
      </c>
      <c r="X21" s="27" t="str">
        <v>ma</v>
      </c>
      <c r="Y21" s="27" t="str">
        <v>mi</v>
      </c>
      <c r="Z21" s="27" t="str">
        <v>ju</v>
      </c>
      <c r="AA21" s="27" t="str">
        <v>vi</v>
      </c>
      <c r="AB21" s="28" t="str">
        <v>sá</v>
      </c>
    </row>
    <row r="22" spans="1:42" ht="50.1" customHeight="1" thickTop="1" thickBot="1">
      <c r="A22" s="30">
        <f t="array" ref="A22:G27">Sep</f>
        <v>44437</v>
      </c>
      <c r="B22" s="31">
        <v>44438</v>
      </c>
      <c r="C22" s="31">
        <v>44439</v>
      </c>
      <c r="D22" s="51">
        <v>44440</v>
      </c>
      <c r="E22" s="54">
        <v>44441</v>
      </c>
      <c r="F22" s="52">
        <v>44442</v>
      </c>
      <c r="G22" s="32">
        <v>44443</v>
      </c>
      <c r="H22" s="30">
        <f t="array" ref="H22:N27">Oct</f>
        <v>44465</v>
      </c>
      <c r="I22" s="31">
        <v>44466</v>
      </c>
      <c r="J22" s="31">
        <v>44467</v>
      </c>
      <c r="K22" s="31">
        <v>44468</v>
      </c>
      <c r="L22" s="31">
        <v>44469</v>
      </c>
      <c r="M22" s="49">
        <v>44470</v>
      </c>
      <c r="N22" s="32">
        <v>44471</v>
      </c>
      <c r="O22" s="30">
        <f t="array" ref="O22:U27">Nov</f>
        <v>44500</v>
      </c>
      <c r="P22" s="31">
        <v>44501</v>
      </c>
      <c r="Q22" s="31">
        <v>44502</v>
      </c>
      <c r="R22" s="31">
        <v>44503</v>
      </c>
      <c r="S22" s="31">
        <v>44504</v>
      </c>
      <c r="T22" s="31">
        <v>44505</v>
      </c>
      <c r="U22" s="32">
        <v>44506</v>
      </c>
      <c r="V22" s="33">
        <f t="array" ref="V22:AB27">Dic</f>
        <v>44528</v>
      </c>
      <c r="W22" s="33">
        <v>44529</v>
      </c>
      <c r="X22" s="33">
        <v>44530</v>
      </c>
      <c r="Y22" s="33">
        <v>44531</v>
      </c>
      <c r="Z22" s="33">
        <v>44532</v>
      </c>
      <c r="AA22" s="33">
        <v>44533</v>
      </c>
      <c r="AB22" s="34">
        <v>44534</v>
      </c>
      <c r="AC22" s="16"/>
    </row>
    <row r="23" spans="1:42" ht="50.1" customHeight="1" thickTop="1" thickBot="1">
      <c r="A23" s="35">
        <v>44444</v>
      </c>
      <c r="B23" s="33">
        <v>44445</v>
      </c>
      <c r="C23" s="33">
        <v>44446</v>
      </c>
      <c r="D23" s="33">
        <v>44447</v>
      </c>
      <c r="E23" s="33">
        <v>44448</v>
      </c>
      <c r="F23" s="33">
        <v>44449</v>
      </c>
      <c r="G23" s="34">
        <v>44450</v>
      </c>
      <c r="H23" s="35">
        <v>44472</v>
      </c>
      <c r="I23" s="33">
        <v>44473</v>
      </c>
      <c r="J23" s="33">
        <v>44474</v>
      </c>
      <c r="K23" s="33">
        <v>44475</v>
      </c>
      <c r="L23" s="33">
        <v>44476</v>
      </c>
      <c r="M23" s="101">
        <v>44477</v>
      </c>
      <c r="N23" s="34">
        <v>44478</v>
      </c>
      <c r="O23" s="35">
        <v>44507</v>
      </c>
      <c r="P23" s="33">
        <v>44508</v>
      </c>
      <c r="Q23" s="33">
        <v>44509</v>
      </c>
      <c r="R23" s="33">
        <v>44510</v>
      </c>
      <c r="S23" s="33">
        <v>44511</v>
      </c>
      <c r="T23" s="33">
        <v>44512</v>
      </c>
      <c r="U23" s="34">
        <v>44513</v>
      </c>
      <c r="V23" s="33">
        <v>44535</v>
      </c>
      <c r="W23" s="33">
        <v>44536</v>
      </c>
      <c r="X23" s="33">
        <v>44537</v>
      </c>
      <c r="Y23" s="33">
        <v>44538</v>
      </c>
      <c r="Z23" s="33">
        <v>44539</v>
      </c>
      <c r="AA23" s="33">
        <v>44540</v>
      </c>
      <c r="AB23" s="34">
        <v>44541</v>
      </c>
      <c r="AC23" s="16"/>
    </row>
    <row r="24" spans="1:42" ht="50.1" customHeight="1" thickTop="1" thickBot="1">
      <c r="A24" s="35">
        <v>44451</v>
      </c>
      <c r="B24" s="33">
        <v>44452</v>
      </c>
      <c r="C24" s="33">
        <v>44453</v>
      </c>
      <c r="D24" s="33">
        <v>44454</v>
      </c>
      <c r="E24" s="33">
        <v>44455</v>
      </c>
      <c r="F24" s="33">
        <v>44456</v>
      </c>
      <c r="G24" s="34">
        <v>44457</v>
      </c>
      <c r="H24" s="35">
        <v>44479</v>
      </c>
      <c r="I24" s="33">
        <v>44480</v>
      </c>
      <c r="J24" s="33">
        <v>44481</v>
      </c>
      <c r="K24" s="33">
        <v>44482</v>
      </c>
      <c r="L24" s="33">
        <v>44483</v>
      </c>
      <c r="M24" s="33">
        <v>44484</v>
      </c>
      <c r="N24" s="34">
        <v>44485</v>
      </c>
      <c r="O24" s="35">
        <v>44514</v>
      </c>
      <c r="P24" s="33">
        <v>44515</v>
      </c>
      <c r="Q24" s="33">
        <v>44516</v>
      </c>
      <c r="R24" s="33">
        <v>44517</v>
      </c>
      <c r="S24" s="33">
        <v>44518</v>
      </c>
      <c r="T24" s="33">
        <v>44519</v>
      </c>
      <c r="U24" s="34">
        <v>44520</v>
      </c>
      <c r="V24" s="33">
        <v>44542</v>
      </c>
      <c r="W24" s="33">
        <v>44543</v>
      </c>
      <c r="X24" s="33">
        <v>44544</v>
      </c>
      <c r="Y24" s="49">
        <v>44545</v>
      </c>
      <c r="Z24" s="33">
        <v>44546</v>
      </c>
      <c r="AA24" s="33">
        <v>44547</v>
      </c>
      <c r="AB24" s="34">
        <v>44548</v>
      </c>
      <c r="AC24" s="16"/>
      <c r="AD24" s="6"/>
      <c r="AE24" s="5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50.1" customHeight="1" thickTop="1" thickBot="1">
      <c r="A25" s="35">
        <v>44458</v>
      </c>
      <c r="B25" s="33">
        <v>44459</v>
      </c>
      <c r="C25" s="33">
        <v>44460</v>
      </c>
      <c r="D25" s="33">
        <v>44461</v>
      </c>
      <c r="E25" s="33">
        <v>44462</v>
      </c>
      <c r="F25" s="33">
        <v>44463</v>
      </c>
      <c r="G25" s="34">
        <v>44464</v>
      </c>
      <c r="H25" s="35">
        <v>44486</v>
      </c>
      <c r="I25" s="33">
        <v>44487</v>
      </c>
      <c r="J25" s="51">
        <v>44488</v>
      </c>
      <c r="K25" s="54">
        <v>44489</v>
      </c>
      <c r="L25" s="54">
        <v>44490</v>
      </c>
      <c r="M25" s="52">
        <v>44491</v>
      </c>
      <c r="N25" s="34">
        <v>44492</v>
      </c>
      <c r="O25" s="35">
        <v>44521</v>
      </c>
      <c r="P25" s="33">
        <v>44522</v>
      </c>
      <c r="Q25" s="33">
        <v>44523</v>
      </c>
      <c r="R25" s="33">
        <v>44524</v>
      </c>
      <c r="S25" s="33">
        <v>44525</v>
      </c>
      <c r="T25" s="33">
        <v>44526</v>
      </c>
      <c r="U25" s="34">
        <v>44527</v>
      </c>
      <c r="V25" s="33">
        <v>44549</v>
      </c>
      <c r="W25" s="33">
        <v>44550</v>
      </c>
      <c r="X25" s="33">
        <v>44551</v>
      </c>
      <c r="Y25" s="33">
        <v>44552</v>
      </c>
      <c r="Z25" s="33">
        <v>44553</v>
      </c>
      <c r="AA25" s="33">
        <v>44554</v>
      </c>
      <c r="AB25" s="34">
        <v>44555</v>
      </c>
      <c r="AC25" s="16"/>
    </row>
    <row r="26" spans="1:42" ht="50.1" customHeight="1">
      <c r="A26" s="35">
        <v>44465</v>
      </c>
      <c r="B26" s="33">
        <v>44466</v>
      </c>
      <c r="C26" s="33">
        <v>44467</v>
      </c>
      <c r="D26" s="33">
        <v>44468</v>
      </c>
      <c r="E26" s="33">
        <v>44469</v>
      </c>
      <c r="F26" s="33">
        <v>44470</v>
      </c>
      <c r="G26" s="34">
        <v>44471</v>
      </c>
      <c r="H26" s="35">
        <v>44493</v>
      </c>
      <c r="I26" s="33">
        <v>44494</v>
      </c>
      <c r="J26" s="33">
        <v>44495</v>
      </c>
      <c r="K26" s="33">
        <v>44496</v>
      </c>
      <c r="L26" s="33">
        <v>44497</v>
      </c>
      <c r="M26" s="33">
        <v>44498</v>
      </c>
      <c r="N26" s="34">
        <v>44499</v>
      </c>
      <c r="O26" s="35">
        <v>44528</v>
      </c>
      <c r="P26" s="33">
        <v>44529</v>
      </c>
      <c r="Q26" s="33">
        <v>44530</v>
      </c>
      <c r="R26" s="33">
        <v>44531</v>
      </c>
      <c r="S26" s="33">
        <v>44532</v>
      </c>
      <c r="T26" s="33">
        <v>44533</v>
      </c>
      <c r="U26" s="34">
        <v>44534</v>
      </c>
      <c r="V26" s="33">
        <v>44556</v>
      </c>
      <c r="W26" s="33">
        <v>44557</v>
      </c>
      <c r="X26" s="33">
        <v>44558</v>
      </c>
      <c r="Y26" s="33">
        <v>44559</v>
      </c>
      <c r="Z26" s="33">
        <v>44560</v>
      </c>
      <c r="AA26" s="33">
        <v>44561</v>
      </c>
      <c r="AB26" s="34">
        <v>44562</v>
      </c>
      <c r="AC26" s="16"/>
    </row>
    <row r="27" spans="1:42" ht="50.1" customHeight="1">
      <c r="A27" s="36">
        <v>44472</v>
      </c>
      <c r="B27" s="37">
        <v>44473</v>
      </c>
      <c r="C27" s="37">
        <v>44474</v>
      </c>
      <c r="D27" s="37">
        <v>44475</v>
      </c>
      <c r="E27" s="37">
        <v>44476</v>
      </c>
      <c r="F27" s="37">
        <v>44477</v>
      </c>
      <c r="G27" s="38">
        <v>44478</v>
      </c>
      <c r="H27" s="36">
        <v>44500</v>
      </c>
      <c r="I27" s="37">
        <v>44501</v>
      </c>
      <c r="J27" s="37">
        <v>44502</v>
      </c>
      <c r="K27" s="37">
        <v>44503</v>
      </c>
      <c r="L27" s="37">
        <v>44504</v>
      </c>
      <c r="M27" s="37">
        <v>44505</v>
      </c>
      <c r="N27" s="38">
        <v>44506</v>
      </c>
      <c r="O27" s="36">
        <v>44535</v>
      </c>
      <c r="P27" s="37">
        <v>44536</v>
      </c>
      <c r="Q27" s="37">
        <v>44537</v>
      </c>
      <c r="R27" s="37">
        <v>44538</v>
      </c>
      <c r="S27" s="37">
        <v>44539</v>
      </c>
      <c r="T27" s="37">
        <v>44540</v>
      </c>
      <c r="U27" s="38">
        <v>44541</v>
      </c>
      <c r="V27" s="37">
        <v>44563</v>
      </c>
      <c r="W27" s="37">
        <v>44564</v>
      </c>
      <c r="X27" s="37">
        <v>44565</v>
      </c>
      <c r="Y27" s="37">
        <v>44566</v>
      </c>
      <c r="Z27" s="37">
        <v>44567</v>
      </c>
      <c r="AA27" s="37">
        <v>44568</v>
      </c>
      <c r="AB27" s="38">
        <v>44569</v>
      </c>
      <c r="AC27" s="16"/>
    </row>
    <row r="29" spans="1:42" ht="16.5" customHeight="1"/>
    <row r="30" spans="1:42" ht="99" customHeight="1">
      <c r="A30" s="81" t="s">
        <v>10</v>
      </c>
      <c r="B30" s="81"/>
      <c r="C30" s="81"/>
      <c r="D30" s="81"/>
      <c r="E30" s="81"/>
      <c r="F30" s="81"/>
      <c r="G30" s="81"/>
      <c r="H30" s="81"/>
      <c r="I30" s="100"/>
      <c r="J30" s="100"/>
      <c r="K30" s="100"/>
      <c r="L30" s="100"/>
      <c r="M30" s="100"/>
      <c r="N30" s="3"/>
      <c r="O30" s="3"/>
      <c r="P30" s="82" t="s">
        <v>7</v>
      </c>
      <c r="Q30" s="83"/>
      <c r="R30" s="83"/>
      <c r="S30" s="83"/>
      <c r="T30" s="83"/>
      <c r="U30" s="83"/>
      <c r="V30" s="84"/>
      <c r="W30" s="91"/>
      <c r="X30" s="92"/>
      <c r="Y30" s="92"/>
      <c r="Z30" s="92"/>
      <c r="AA30" s="92"/>
      <c r="AB30" s="92"/>
      <c r="AC30" s="93"/>
      <c r="AD30" s="3"/>
      <c r="AE30" s="62" t="s">
        <v>8</v>
      </c>
      <c r="AF30" s="62"/>
      <c r="AG30" s="62"/>
      <c r="AH30" s="62"/>
      <c r="AI30" s="62"/>
      <c r="AJ30" s="62"/>
      <c r="AK30" s="57"/>
      <c r="AL30" s="58"/>
      <c r="AM30" s="58"/>
      <c r="AN30" s="58"/>
      <c r="AO30" s="58"/>
      <c r="AP30" s="59"/>
    </row>
    <row r="31" spans="1:42" ht="33" customHeight="1">
      <c r="A31" s="81" t="s">
        <v>12</v>
      </c>
      <c r="B31" s="81"/>
      <c r="C31" s="81"/>
      <c r="D31" s="81"/>
      <c r="E31" s="81"/>
      <c r="F31" s="81"/>
      <c r="G31" s="81"/>
      <c r="H31" s="81"/>
      <c r="I31" s="100"/>
      <c r="J31" s="100"/>
      <c r="K31" s="100"/>
      <c r="L31" s="100"/>
      <c r="M31" s="100"/>
      <c r="N31" s="3"/>
      <c r="O31" s="3"/>
      <c r="P31" s="85"/>
      <c r="Q31" s="86"/>
      <c r="R31" s="86"/>
      <c r="S31" s="86"/>
      <c r="T31" s="86"/>
      <c r="U31" s="86"/>
      <c r="V31" s="87"/>
      <c r="W31" s="94"/>
      <c r="X31" s="95"/>
      <c r="Y31" s="95"/>
      <c r="Z31" s="95"/>
      <c r="AA31" s="95"/>
      <c r="AB31" s="95"/>
      <c r="AC31" s="96"/>
      <c r="AD31" s="3"/>
      <c r="AE31" s="62" t="s">
        <v>9</v>
      </c>
      <c r="AF31" s="62"/>
      <c r="AG31" s="62"/>
      <c r="AH31" s="62"/>
      <c r="AI31" s="62"/>
      <c r="AJ31" s="62"/>
      <c r="AK31" s="57"/>
      <c r="AL31" s="58"/>
      <c r="AM31" s="58"/>
      <c r="AN31" s="58"/>
      <c r="AO31" s="58"/>
      <c r="AP31" s="59"/>
    </row>
    <row r="32" spans="1:42" ht="18" customHeight="1">
      <c r="A32" s="81"/>
      <c r="B32" s="81"/>
      <c r="C32" s="81"/>
      <c r="D32" s="81"/>
      <c r="E32" s="81"/>
      <c r="F32" s="81"/>
      <c r="G32" s="81"/>
      <c r="H32" s="81"/>
      <c r="I32" s="100"/>
      <c r="J32" s="100"/>
      <c r="K32" s="100"/>
      <c r="L32" s="100"/>
      <c r="M32" s="100"/>
      <c r="N32" s="3"/>
      <c r="O32" s="3"/>
      <c r="P32" s="85"/>
      <c r="Q32" s="86"/>
      <c r="R32" s="86"/>
      <c r="S32" s="86"/>
      <c r="T32" s="86"/>
      <c r="U32" s="86"/>
      <c r="V32" s="87"/>
      <c r="W32" s="94"/>
      <c r="X32" s="95"/>
      <c r="Y32" s="95"/>
      <c r="Z32" s="95"/>
      <c r="AA32" s="95"/>
      <c r="AB32" s="95"/>
      <c r="AC32" s="96"/>
      <c r="AD32" s="3"/>
      <c r="AE32" s="62"/>
      <c r="AF32" s="62"/>
      <c r="AG32" s="62"/>
      <c r="AH32" s="62"/>
      <c r="AI32" s="62"/>
      <c r="AJ32" s="62"/>
      <c r="AK32" s="57"/>
      <c r="AL32" s="58"/>
      <c r="AM32" s="58"/>
      <c r="AN32" s="58"/>
      <c r="AO32" s="58"/>
      <c r="AP32" s="59"/>
    </row>
    <row r="33" spans="1:42" ht="39" customHeight="1">
      <c r="A33" s="81"/>
      <c r="B33" s="81"/>
      <c r="C33" s="81"/>
      <c r="D33" s="81"/>
      <c r="E33" s="81"/>
      <c r="F33" s="81"/>
      <c r="G33" s="81"/>
      <c r="H33" s="81"/>
      <c r="I33" s="100"/>
      <c r="J33" s="100"/>
      <c r="K33" s="100"/>
      <c r="L33" s="100"/>
      <c r="M33" s="100"/>
      <c r="N33" s="3"/>
      <c r="O33" s="3"/>
      <c r="P33" s="85"/>
      <c r="Q33" s="86"/>
      <c r="R33" s="86"/>
      <c r="S33" s="86"/>
      <c r="T33" s="86"/>
      <c r="U33" s="86"/>
      <c r="V33" s="87"/>
      <c r="W33" s="94"/>
      <c r="X33" s="95"/>
      <c r="Y33" s="95"/>
      <c r="Z33" s="95"/>
      <c r="AA33" s="95"/>
      <c r="AB33" s="95"/>
      <c r="AC33" s="96"/>
      <c r="AD33" s="3"/>
      <c r="AE33" s="62"/>
      <c r="AF33" s="62"/>
      <c r="AG33" s="62"/>
      <c r="AH33" s="62"/>
      <c r="AI33" s="62"/>
      <c r="AJ33" s="62"/>
      <c r="AK33" s="57"/>
      <c r="AL33" s="58"/>
      <c r="AM33" s="58"/>
      <c r="AN33" s="58"/>
      <c r="AO33" s="58"/>
      <c r="AP33" s="59"/>
    </row>
    <row r="34" spans="1:42" ht="93" customHeight="1">
      <c r="A34" s="81" t="s">
        <v>11</v>
      </c>
      <c r="B34" s="81"/>
      <c r="C34" s="81"/>
      <c r="D34" s="81"/>
      <c r="E34" s="81"/>
      <c r="F34" s="81"/>
      <c r="G34" s="81"/>
      <c r="H34" s="81"/>
      <c r="I34" s="100"/>
      <c r="J34" s="100"/>
      <c r="K34" s="100"/>
      <c r="L34" s="100"/>
      <c r="M34" s="100"/>
      <c r="N34" s="3"/>
      <c r="O34" s="3"/>
      <c r="P34" s="88"/>
      <c r="Q34" s="89"/>
      <c r="R34" s="89"/>
      <c r="S34" s="89"/>
      <c r="T34" s="89"/>
      <c r="U34" s="89"/>
      <c r="V34" s="90"/>
      <c r="W34" s="97"/>
      <c r="X34" s="98"/>
      <c r="Y34" s="98"/>
      <c r="Z34" s="98"/>
      <c r="AA34" s="98"/>
      <c r="AB34" s="98"/>
      <c r="AC34" s="99"/>
      <c r="AD34" s="3"/>
      <c r="AE34" s="62" t="s">
        <v>13</v>
      </c>
      <c r="AF34" s="62"/>
      <c r="AG34" s="62"/>
      <c r="AH34" s="62"/>
      <c r="AI34" s="62"/>
      <c r="AJ34" s="62"/>
      <c r="AK34" s="57"/>
      <c r="AL34" s="58"/>
      <c r="AM34" s="58"/>
      <c r="AN34" s="58"/>
      <c r="AO34" s="58"/>
      <c r="AP34" s="59"/>
    </row>
    <row r="35" spans="1:42" ht="33" customHeight="1">
      <c r="A35" s="68" t="s">
        <v>3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4"/>
      <c r="O35" s="4"/>
      <c r="P35" s="69" t="s">
        <v>4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1"/>
      <c r="AD35" s="4"/>
      <c r="AE35" s="72" t="s">
        <v>2</v>
      </c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21.75" customHeight="1">
      <c r="A36" s="72" t="s">
        <v>5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4"/>
      <c r="O36" s="4"/>
      <c r="P36" s="68" t="s">
        <v>6</v>
      </c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4"/>
      <c r="AE36" s="68" t="s">
        <v>6</v>
      </c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</row>
    <row r="37" spans="1:42" ht="43.8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4"/>
      <c r="O37" s="4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4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</row>
  </sheetData>
  <mergeCells count="44">
    <mergeCell ref="AE35:AP35"/>
    <mergeCell ref="A35:M35"/>
    <mergeCell ref="P30:V34"/>
    <mergeCell ref="W30:AC34"/>
    <mergeCell ref="I30:M30"/>
    <mergeCell ref="I31:M33"/>
    <mergeCell ref="I34:M34"/>
    <mergeCell ref="AD11:AE11"/>
    <mergeCell ref="AD13:AE13"/>
    <mergeCell ref="A30:H30"/>
    <mergeCell ref="A31:H33"/>
    <mergeCell ref="A34:H34"/>
    <mergeCell ref="AE36:AP37"/>
    <mergeCell ref="P36:AC37"/>
    <mergeCell ref="P35:AC35"/>
    <mergeCell ref="A36:M37"/>
    <mergeCell ref="A4:G4"/>
    <mergeCell ref="H4:N4"/>
    <mergeCell ref="O4:U4"/>
    <mergeCell ref="V4:AB4"/>
    <mergeCell ref="AF5:AP5"/>
    <mergeCell ref="A20:G20"/>
    <mergeCell ref="H20:N20"/>
    <mergeCell ref="O20:U20"/>
    <mergeCell ref="V20:AB20"/>
    <mergeCell ref="AF10:AP10"/>
    <mergeCell ref="A12:G12"/>
    <mergeCell ref="H12:N12"/>
    <mergeCell ref="A3:AB3"/>
    <mergeCell ref="A2:AB2"/>
    <mergeCell ref="AK30:AP30"/>
    <mergeCell ref="AK31:AP33"/>
    <mergeCell ref="AK34:AP34"/>
    <mergeCell ref="AF14:AP14"/>
    <mergeCell ref="AF15:AN15"/>
    <mergeCell ref="AE30:AJ30"/>
    <mergeCell ref="AE31:AJ33"/>
    <mergeCell ref="AE34:AJ34"/>
    <mergeCell ref="O12:U12"/>
    <mergeCell ref="V12:AB12"/>
    <mergeCell ref="AF9:AP9"/>
    <mergeCell ref="AF11:AP11"/>
    <mergeCell ref="AF13:AP13"/>
    <mergeCell ref="AD9:AE9"/>
  </mergeCells>
  <conditionalFormatting sqref="A6:G11">
    <cfRule type="expression" dxfId="15" priority="26">
      <formula>MONTH(A6)&lt;&gt;MONTH($A$8)</formula>
    </cfRule>
  </conditionalFormatting>
  <conditionalFormatting sqref="H6:N11">
    <cfRule type="expression" dxfId="14" priority="25">
      <formula>MONTH(H6)&lt;&gt;MONTH($H$8)</formula>
    </cfRule>
  </conditionalFormatting>
  <conditionalFormatting sqref="O6:U11">
    <cfRule type="expression" dxfId="13" priority="24">
      <formula>MONTH(O6)&lt;&gt;MONTH($O$8)</formula>
    </cfRule>
  </conditionalFormatting>
  <conditionalFormatting sqref="V9:AB11 V6:V7 AB6 V8:W8 Y8:AB8">
    <cfRule type="expression" dxfId="12" priority="23">
      <formula>MONTH(V6)&lt;&gt;MONTH($V$8)</formula>
    </cfRule>
  </conditionalFormatting>
  <conditionalFormatting sqref="A14:G19">
    <cfRule type="expression" dxfId="11" priority="22">
      <formula>MONTH(A14)&lt;&gt;MONTH($A$16)</formula>
    </cfRule>
  </conditionalFormatting>
  <conditionalFormatting sqref="H14:N19">
    <cfRule type="expression" dxfId="10" priority="21">
      <formula>MONTH(H14)&lt;&gt;MONTH($H$16)</formula>
    </cfRule>
  </conditionalFormatting>
  <conditionalFormatting sqref="O14:U19">
    <cfRule type="expression" dxfId="9" priority="20">
      <formula>MONTH(O14)&lt;&gt;MONTH($O$16)</formula>
    </cfRule>
  </conditionalFormatting>
  <conditionalFormatting sqref="V14:AB19">
    <cfRule type="expression" dxfId="8" priority="19">
      <formula>MONTH(V14)&lt;&gt;MONTH($V$16)</formula>
    </cfRule>
  </conditionalFormatting>
  <conditionalFormatting sqref="A22:G23 A25:G27 A24 C24:G24">
    <cfRule type="expression" dxfId="7" priority="18">
      <formula>MONTH(A22)&lt;&gt;MONTH($A$24)</formula>
    </cfRule>
  </conditionalFormatting>
  <conditionalFormatting sqref="H22:N27">
    <cfRule type="expression" dxfId="6" priority="17">
      <formula>MONTH(H22)&lt;&gt;MONTH($H$24)</formula>
    </cfRule>
  </conditionalFormatting>
  <conditionalFormatting sqref="O22:U27">
    <cfRule type="expression" dxfId="5" priority="16">
      <formula>MONTH(O22)&lt;&gt;MONTH($O$24)</formula>
    </cfRule>
  </conditionalFormatting>
  <conditionalFormatting sqref="V22:AB27">
    <cfRule type="expression" dxfId="4" priority="15">
      <formula>MONTH(V22)&lt;&gt;MONTH($V$24)</formula>
    </cfRule>
  </conditionalFormatting>
  <conditionalFormatting sqref="B24">
    <cfRule type="expression" dxfId="3" priority="7">
      <formula>MONTH(B24)&lt;&gt;MONTH($A$24)</formula>
    </cfRule>
  </conditionalFormatting>
  <conditionalFormatting sqref="AD13">
    <cfRule type="expression" dxfId="2" priority="5">
      <formula>MONTH(AD13)&lt;&gt;MONTH($O$8)</formula>
    </cfRule>
  </conditionalFormatting>
  <conditionalFormatting sqref="AD15">
    <cfRule type="expression" dxfId="1" priority="4">
      <formula>MONTH(AD15)&lt;&gt;MONTH($O$16)</formula>
    </cfRule>
  </conditionalFormatting>
  <conditionalFormatting sqref="AD11">
    <cfRule type="expression" dxfId="0" priority="2">
      <formula>MONTH(AD11)&lt;&gt;MONTH($A$16)</formula>
    </cfRule>
  </conditionalFormatting>
  <dataValidations disablePrompts="1" xWindow="683" yWindow="479" count="27">
    <dataValidation type="list" errorStyle="warning" allowBlank="1" showInputMessage="1" showErrorMessage="1" error="Seleccione el primer día de la semana en la lista. Seleccione CANCELAR, presiona ALT+FLECHA ABAJO para mostrar las opciones y, después, FLECHA ABAJO y ENTRAR para realizar la selección." prompt="Seleccione el primer día de la semana en esta celda. Presione ALT+FLECHA ABAJO para mostrar las opciones y después, FLECHA ABAJO y ENTRAR para realizar la selección." sqref="J1:N1">
      <formula1>"DOMINGO,LUNES,MARTES,MIÉRCOLES,JUEVES,VIERNES,SÁBADO"</formula1>
    </dataValidation>
    <dataValidation allowBlank="1" showInputMessage="1" showErrorMessage="1" prompt="Seleccione el primer día de la semana en la celda de la derecha y el año natural en la celda de abajo." sqref="B1:I1 A1:A2"/>
    <dataValidation allowBlank="1" showInputMessage="1" showErrorMessage="1" prompt="Escriba el año en esta celda. Las fechas del calendario se actualizan automáticamente en las celdas B3 a AC26." sqref="A3:AB3"/>
    <dataValidation allowBlank="1" showInputMessage="1" showErrorMessage="1" prompt="El mes del calendario se encuentra en esta celda. El calendario para este mes se actualiza automáticamente en las celdas B4 a H10, y contiene fechas del mes anterior, actual y siguiente." sqref="A4:G4"/>
    <dataValidation allowBlank="1" showInputMessage="1" showErrorMessage="1" prompt="El mes del calendario se encuentra en esta celda. El calendario para este mes se actualiza automáticamente en las celdas I4 a O10, y contiene fechas del mes anterior, actual y siguiente." sqref="H4:N4"/>
    <dataValidation allowBlank="1" showInputMessage="1" showErrorMessage="1" prompt="El mes del calendario se encuentra en esta celda. El calendario para este mes se actualiza automáticamente en las celdas P4 a V10, y contiene fechas del mes anterior, actual y siguiente." sqref="O4:U4"/>
    <dataValidation allowBlank="1" showInputMessage="1" showErrorMessage="1" prompt="El mes del calendario se encuentra en esta celda. El calendario para este mes se actualiza automáticamente en las celdas W4 a AC10, y contiene fechas del mes anterior, actual y siguiente." sqref="V4:AB4"/>
    <dataValidation allowBlank="1" showInputMessage="1" showErrorMessage="1" prompt="El mes del calendario se encuentra en esta celda. El calendario para este mes se actualiza automáticamente en las celdas B12 a H18, y contiene fechas del mes anterior, actual y siguiente." sqref="A12:G12"/>
    <dataValidation allowBlank="1" showInputMessage="1" showErrorMessage="1" prompt="El mes del calendario se encuentra en esta celda. El calendario para este mes se actualiza automáticamente en las celdas I12 a O18, y contiene fechas del mes anterior, actual y siguiente." sqref="H12:N12"/>
    <dataValidation allowBlank="1" showInputMessage="1" showErrorMessage="1" prompt="El mes del calendario se encuentra en esta celda. El calendario para este mes se actualiza automáticamente en las celdas P12 a V18, y contiene fechas del mes anterior, actual y siguiente." sqref="O12:U12"/>
    <dataValidation allowBlank="1" showInputMessage="1" showErrorMessage="1" prompt="El mes del calendario se encuentra en esta celda. El calendario para este mes se actualiza automáticamente en las celdas W12 a AC18, y contiene fechas del mes anterior, actual y siguiente." sqref="V12:AB12"/>
    <dataValidation allowBlank="1" showInputMessage="1" showErrorMessage="1" prompt="El mes del calendario se encuentra en esta celda. El calendario para este mes se actualiza automáticamente en las celdas B20 a H26, y contiene fechas del mes anterior, actual y siguiente." sqref="A20:G20"/>
    <dataValidation allowBlank="1" showInputMessage="1" showErrorMessage="1" prompt="El mes del calendario se encuentra en esta celda. El calendario para este mes se actualiza automáticamente en las celdas I20 a O26, y contiene fechas del mes anterior, actual y siguiente." sqref="H20:N20"/>
    <dataValidation allowBlank="1" showInputMessage="1" showErrorMessage="1" prompt="El mes del calendario se encuentra en esta celda. El calendario para este mes se actualiza automáticamente en las celdas P20 a V26, y contiene fechas del mes anterior, actual y siguiente." sqref="O20:U20"/>
    <dataValidation allowBlank="1" showInputMessage="1" showErrorMessage="1" prompt="El mes del calendario se encuentra en esta celda. El calendario para este mes se actualiza automáticamente en las celdas W20 a AC26, y contiene fechas del mes anterior, actual y siguiente." sqref="V20:AB20"/>
    <dataValidation allowBlank="1" showInputMessage="1" showErrorMessage="1" prompt="Los días hábiles para el mes en la celda superior se encuentran en las celdas B4 a H4." sqref="A5"/>
    <dataValidation allowBlank="1" showInputMessage="1" showErrorMessage="1" prompt="Los días hábiles para el mes en la celda superior se encuentran en las celdas I4 a O4." sqref="H5"/>
    <dataValidation allowBlank="1" showInputMessage="1" showErrorMessage="1" prompt="Los días hábiles para el mes en la celda superior se encuentran en las celdas P4 a V4." sqref="O5"/>
    <dataValidation allowBlank="1" showInputMessage="1" showErrorMessage="1" prompt="Los días hábiles para el mes en la celda superior se encuentran en las celdas W4 a AC4." sqref="V5"/>
    <dataValidation allowBlank="1" showInputMessage="1" showErrorMessage="1" prompt="Los días hábiles para el mes en la celda superior se encuentran en las celdas B12 a H12." sqref="A13"/>
    <dataValidation allowBlank="1" showInputMessage="1" showErrorMessage="1" prompt="Los días hábiles para el mes en la celda superior se encuentran en las celdas B20 a H20." sqref="A21"/>
    <dataValidation allowBlank="1" showInputMessage="1" showErrorMessage="1" prompt="Los días hábiles para el mes en la celda superior se encuentran en las celdas I12 a O12." sqref="H13"/>
    <dataValidation allowBlank="1" showInputMessage="1" showErrorMessage="1" prompt="Los días hábiles para el mes en la celda superior se encuentran en las celdas P12 a V12." sqref="O13"/>
    <dataValidation allowBlank="1" showInputMessage="1" showErrorMessage="1" prompt="Los días hábiles para el mes en la celda superior se encuentran en las celdas W12 a AC12." sqref="V13"/>
    <dataValidation allowBlank="1" showInputMessage="1" showErrorMessage="1" prompt="Los días hábiles para el mes en la celda superior se encuentran en las celdas I20 a O20." sqref="H21"/>
    <dataValidation allowBlank="1" showInputMessage="1" showErrorMessage="1" prompt="Los días hábiles para el mes en la celda superior se encuentran en las celdas P20 a V20." sqref="O21"/>
    <dataValidation allowBlank="1" showInputMessage="1" showErrorMessage="1" prompt="Los días hábiles para el mes en la celda superior se encuentran en las celdas W20 a AC20." sqref="V21"/>
  </dataValidations>
  <printOptions horizontalCentered="1" verticalCentered="1"/>
  <pageMargins left="0.39370078740157483" right="0.39370078740157483" top="0.69277777777777783" bottom="0.39370078740157483" header="0.39370078740157483" footer="0.39370078740157483"/>
  <pageSetup scale="29" orientation="landscape" r:id="rId1"/>
  <headerFooter differentFirst="1">
    <oddFooter>Page &amp;P of &amp;N</oddFooter>
    <firstHeader>&amp;L&amp;G&amp;C&amp;"Arial,Negrita"&amp;20
INSTITUTO NACIONAL ELECTORAL
JUNTA LOCAL EJECUTIVA PUEBLA&amp;K01+000
SISTEMA DE GESTIÓN DE LA CALIDAD&amp;5
&amp;20
CALENDARIO DE REVISIÓN AL SGC Y AUDITORIAS</first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Calendario de todo el año</vt:lpstr>
      <vt:lpstr>AñoNatural</vt:lpstr>
      <vt:lpstr>'Calendario de todo el año'!Área_de_impresión</vt:lpstr>
      <vt:lpstr>InicioDeSemana</vt:lpstr>
      <vt:lpstr>RegiónDeTítuloDeColumna1..H10.1</vt:lpstr>
      <vt:lpstr>RegiónDeTítuloDeColumna10..O26.1</vt:lpstr>
      <vt:lpstr>RegiónDeTítuloDeColumna11..V26.1</vt:lpstr>
      <vt:lpstr>RegiónDeTítuloDeColumna12..AC26.1</vt:lpstr>
      <vt:lpstr>RegiónDeTítuloDeColumna2..O10.1</vt:lpstr>
      <vt:lpstr>RegiónDeTítuloDeColumna3..V10.1</vt:lpstr>
      <vt:lpstr>RegiónDeTítuloDeColumna4..AC10.1</vt:lpstr>
      <vt:lpstr>RegiónDeTítuloDeColumna5..H18.1</vt:lpstr>
      <vt:lpstr>RegiónDeTítuloDeColumna6..O18.1</vt:lpstr>
      <vt:lpstr>RegiónDeTítuloDeColumna7..V18.1</vt:lpstr>
      <vt:lpstr>RegiónDeTítuloDeColumna8..AC18.1</vt:lpstr>
      <vt:lpstr>RegiónDeTítuloDeColumna9..H26.1</vt:lpstr>
      <vt:lpstr>RegiónDeTítuloDeFila1..K1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2018-07-04T07:17:42Z</dcterms:created>
  <dcterms:modified xsi:type="dcterms:W3CDTF">2021-11-25T23:02:27Z</dcterms:modified>
</cp:coreProperties>
</file>