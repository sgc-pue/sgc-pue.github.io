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E)Procesos de Soporte\01Suministro de Bienes y Serv\5Riesgos\"/>
    </mc:Choice>
  </mc:AlternateContent>
  <bookViews>
    <workbookView xWindow="0" yWindow="0" windowWidth="19200" windowHeight="7050" tabRatio="645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Op'!$A$1:$H$66</definedName>
    <definedName name="_xlnm.Print_Area" localSheetId="3">'E de efectividad Ri'!$A$1:$H$66</definedName>
    <definedName name="_xlnm.Print_Area" localSheetId="0">'Matriz Riesgo y Op'!$A$1:$N$101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7" i="20" l="1"/>
  <c r="J97" i="20" s="1"/>
  <c r="K97" i="20" s="1"/>
  <c r="L97" i="20" s="1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B49" i="34"/>
  <c r="B39" i="34"/>
  <c r="B44" i="34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B44" i="33"/>
  <c r="B49" i="33"/>
  <c r="A39" i="33"/>
  <c r="B39" i="33"/>
  <c r="I92" i="20"/>
  <c r="J92" i="20" s="1"/>
  <c r="K92" i="20" s="1"/>
  <c r="L92" i="20" s="1"/>
  <c r="I43" i="20"/>
  <c r="J43" i="20" s="1"/>
  <c r="K43" i="20" s="1"/>
  <c r="L43" i="20" s="1"/>
  <c r="I38" i="20"/>
  <c r="J38" i="20" s="1"/>
  <c r="K38" i="20" s="1"/>
  <c r="L38" i="20" s="1"/>
  <c r="B34" i="34" l="1"/>
  <c r="B29" i="34"/>
  <c r="B24" i="34"/>
  <c r="B19" i="34"/>
  <c r="B14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4" i="33"/>
  <c r="A35" i="33"/>
  <c r="A36" i="33"/>
  <c r="A37" i="33"/>
  <c r="A38" i="33"/>
  <c r="B34" i="33"/>
  <c r="B29" i="33"/>
  <c r="B24" i="33"/>
  <c r="B19" i="33"/>
  <c r="B14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I72" i="20"/>
  <c r="J72" i="20" s="1"/>
  <c r="K72" i="20" s="1"/>
  <c r="L72" i="20" s="1"/>
  <c r="I77" i="20"/>
  <c r="J77" i="20" s="1"/>
  <c r="K77" i="20" s="1"/>
  <c r="L77" i="20" s="1"/>
  <c r="I82" i="20"/>
  <c r="J82" i="20" s="1"/>
  <c r="K82" i="20" s="1"/>
  <c r="L82" i="20" s="1"/>
  <c r="I87" i="20"/>
  <c r="J87" i="20" s="1"/>
  <c r="K87" i="20" s="1"/>
  <c r="L87" i="20" s="1"/>
  <c r="I23" i="20"/>
  <c r="J23" i="20" s="1"/>
  <c r="K23" i="20" s="1"/>
  <c r="L23" i="20" s="1"/>
  <c r="I28" i="20"/>
  <c r="J28" i="20" s="1"/>
  <c r="K28" i="20" s="1"/>
  <c r="L28" i="20" s="1"/>
  <c r="I33" i="20"/>
  <c r="J33" i="20" s="1"/>
  <c r="K33" i="20" s="1"/>
  <c r="L33" i="20" s="1"/>
  <c r="I48" i="20"/>
  <c r="J48" i="20" s="1"/>
  <c r="K48" i="20" s="1"/>
  <c r="L48" i="20" s="1"/>
  <c r="I18" i="20"/>
  <c r="J18" i="20" s="1"/>
  <c r="K18" i="20" s="1"/>
  <c r="L18" i="20" s="1"/>
  <c r="I67" i="20" l="1"/>
  <c r="J67" i="20" s="1"/>
  <c r="K67" i="20" s="1"/>
  <c r="L67" i="20" s="1"/>
  <c r="I62" i="20"/>
  <c r="J62" i="20" s="1"/>
  <c r="K62" i="20" s="1"/>
  <c r="L62" i="20" s="1"/>
  <c r="I57" i="20"/>
  <c r="J57" i="20" s="1"/>
  <c r="K57" i="20" s="1"/>
  <c r="L57" i="20" s="1"/>
  <c r="I13" i="20"/>
  <c r="J13" i="20" s="1"/>
  <c r="K13" i="20" s="1"/>
  <c r="L13" i="20" s="1"/>
  <c r="I8" i="20" l="1"/>
  <c r="J8" i="20" s="1"/>
  <c r="K8" i="20" s="1"/>
  <c r="B9" i="33" l="1"/>
  <c r="B9" i="34"/>
  <c r="A9" i="34" l="1"/>
  <c r="F55" i="34"/>
  <c r="E55" i="34"/>
  <c r="D55" i="34"/>
  <c r="C55" i="34"/>
  <c r="C56" i="34" l="1"/>
  <c r="C58" i="34" s="1"/>
  <c r="F55" i="33"/>
  <c r="A9" i="33" l="1"/>
  <c r="C55" i="33"/>
  <c r="D55" i="33"/>
  <c r="E55" i="33"/>
  <c r="C56" i="33" l="1"/>
  <c r="C58" i="33" s="1"/>
</calcChain>
</file>

<file path=xl/sharedStrings.xml><?xml version="1.0" encoding="utf-8"?>
<sst xmlns="http://schemas.openxmlformats.org/spreadsheetml/2006/main" count="441" uniqueCount="249">
  <si>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</si>
  <si>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</si>
  <si>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</si>
  <si>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</si>
  <si>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</si>
  <si>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</si>
  <si>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</si>
  <si>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</si>
  <si>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</si>
  <si>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</si>
  <si>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</si>
  <si>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</si>
  <si>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</si>
  <si>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</si>
  <si>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</si>
  <si>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</si>
  <si>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</si>
  <si>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</si>
  <si>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</si>
  <si>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</si>
  <si>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</si>
  <si>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</si>
  <si>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</si>
  <si>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</si>
  <si>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</si>
  <si>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</si>
  <si>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</si>
  <si>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</si>
  <si>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</si>
  <si>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</si>
  <si>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</si>
  <si>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</si>
  <si>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</si>
  <si>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</si>
  <si>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</si>
  <si>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</si>
  <si>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</si>
  <si>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</si>
  <si>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</si>
  <si>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</si>
  <si>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</si>
  <si>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</si>
  <si>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</si>
  <si>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</si>
  <si>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</si>
  <si>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</si>
  <si>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</si>
  <si>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</si>
  <si>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</si>
  <si>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</si>
  <si>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</si>
  <si>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</si>
  <si>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</si>
  <si>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</si>
  <si>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</si>
  <si>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</si>
  <si>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</si>
  <si>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</si>
  <si>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</si>
  <si>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</si>
  <si>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</si>
  <si>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</si>
  <si>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</si>
  <si>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</si>
  <si>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</si>
  <si>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</si>
  <si>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</si>
  <si>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</si>
  <si>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</si>
  <si>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</si>
  <si>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</si>
  <si>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</si>
  <si>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</si>
  <si>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</si>
  <si>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</si>
  <si>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</si>
  <si>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</si>
  <si>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</si>
  <si>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</si>
  <si>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</si>
  <si>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</si>
  <si>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</si>
  <si>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</si>
  <si>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</si>
  <si>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</si>
  <si>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</si>
  <si>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</si>
  <si>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mantener e incrementar la sostenibilidad financiera del Instituto, las cuales pueden ser generadas en conjunto por una o unas de las Partes Interesadas.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</si>
  <si>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</si>
  <si>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</si>
  <si>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</si>
  <si>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</si>
  <si>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</si>
  <si>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</si>
  <si>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</si>
  <si>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</si>
  <si>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</si>
  <si>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</si>
  <si>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</si>
  <si>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</si>
  <si>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</si>
  <si>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</si>
  <si>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</si>
  <si>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</si>
  <si>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</si>
  <si>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</si>
  <si>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</si>
  <si>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</si>
  <si>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</si>
  <si>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</si>
  <si>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</si>
  <si>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</si>
  <si>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</si>
  <si>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</si>
  <si>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</si>
  <si>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</si>
  <si>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</si>
  <si>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</si>
  <si>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</si>
  <si>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</si>
  <si>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</si>
  <si>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</si>
  <si>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</si>
  <si>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</si>
  <si>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</si>
  <si>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CLASIFICACIÓN
RIESGO / OPORTUNIDAD</t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</si>
  <si>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</si>
  <si>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</si>
  <si>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</si>
  <si>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</si>
  <si>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</si>
  <si>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</si>
  <si>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</si>
  <si>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</si>
  <si>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</si>
  <si>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</si>
  <si>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</si>
  <si>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</si>
  <si>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</si>
  <si>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</si>
  <si>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</si>
  <si>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</si>
  <si>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</si>
  <si>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</si>
  <si>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SEGUIMIENTO</t>
  </si>
  <si>
    <t xml:space="preserve">ANALISÍS DE RIESGOS/OPORTUNIDADES
PROCESO DE SUMINISTRO DE BIENES Y SERVICIOS 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</si>
  <si>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</si>
  <si>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</si>
  <si>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</si>
  <si>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Cotizaciones (cuadro comparativo)</t>
  </si>
  <si>
    <t>Definición del tipo de adquisición – contrato / Pedido-Contrato</t>
  </si>
  <si>
    <t xml:space="preserve">
Que el bien solicitado no sea el adecuado</t>
  </si>
  <si>
    <t xml:space="preserve">Que no se cuente con los presupuestos respecto a las especificaciones solicitadas del bien o servicio
</t>
  </si>
  <si>
    <t xml:space="preserve">No contar con suficiencia presupuestal en las partidas o que el presupuesto del bien o servicio  se encuentre en otra partida  </t>
  </si>
  <si>
    <t>Asegurar que se este aplicando la normatividad vigente para la determinación del tipo de adquisición.</t>
  </si>
  <si>
    <t>Que no se lleve a cabo la adquisición del bien o servicio en tiempo y forma para atender la solicitud</t>
  </si>
  <si>
    <t>Asegurar que la información requisitada sea correcta</t>
  </si>
  <si>
    <t>Asegurar que el  área requirente conozca el beneficio de tener una muestra del bien, en los casos que sea posible (por los tiempos y posibilidades del Proveedor), en el momento que entrega la "Requisición del bien y servicio".</t>
  </si>
  <si>
    <t>Privilegiar el acudir en sitio con el proveedor a solicitar las cotizaciones correspondientes del bien a adquirir</t>
  </si>
  <si>
    <t>Seguimiento a la disposición de  recursos de la carpeta financiera con el fin de asegurar que se realiza la compra en los tiempos establecidos.</t>
  </si>
  <si>
    <t>Contactar al Proveedor para reconfirmar la adjudicación</t>
  </si>
  <si>
    <t>Garantizar el llenado del cuadro comparativo, a fin de concentrar toda la información necesaria para facilitar  su autorización.</t>
  </si>
  <si>
    <t>No contar con un documento en el que se concentren las mejores propuestas de proveedores  para el Instituto</t>
  </si>
  <si>
    <t>Optimizar el control de entradas y salidas dentro del almacén Institucional</t>
  </si>
  <si>
    <t>EVALUACIÓN DE LA EFECTIVIDAD DE LOS OPORTUNIDADES</t>
  </si>
  <si>
    <t>INSTITUTO NACIONAL ELECTORAL JLE PUEBLA
SISTEMA DE GESTIÓN DE LA CALIDAD</t>
  </si>
  <si>
    <t>Riesgo cuyos efectos están relacionados con limitar o detener la sostenibilidad financiera de los  MAC´s  las cuales pueden ser generadas en conjunto por una o varias de las Partes Interesadas.</t>
  </si>
  <si>
    <t>El proceso explota la oportunidad de manera efectiva y produce el resultado esperado en un entorno de mejora continua.</t>
  </si>
  <si>
    <t>Control rutinario que de no realizar4se no se lograrán los estándares solicitados</t>
  </si>
  <si>
    <t>Cualquier riesgo cuyo efecto negativo está relacionado con la salud física, medio ambiente y seguridad laboral de cualquier Parte Interesada (interna o externa), así como el ambiente laboral de los funcionarios dentro de los MAC´s.</t>
  </si>
  <si>
    <t>Riesgo cuyos efectos están relacionados con cambios en la planeación y ejecución estratégica del INE, DOS, DERFE, que provocan limitantes tangibles e intangibles en los resultados de los MAC´s.</t>
  </si>
  <si>
    <r>
      <t>Control rutinario, no afecta la secuencia e integridad del proceso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</si>
  <si>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controles permanentes ya que existe un riesgo moderado en la secuencia y la integridad del proceso y/o Partes Interesadas.</t>
    </r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</si>
  <si>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y/o Partes interesadas.</t>
    </r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</si>
  <si>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y/o Partes interesadas.</t>
    </r>
  </si>
  <si>
    <t>Oportunidad cuyo efecto está relacionado con mantener e incrementar los beneficios en la salud física, medio ambiente y seguridad laboral de cualquier Parte Interesada (interna y externa), así como el ambiente laboral de los Funcionarios dentro de los MAC´s.</t>
  </si>
  <si>
    <t>Oportunidad cuyos efectos están relacionados con cambios en la planeación y ejecución estratégica del INE, DERFE, DOS, que provocan beneficios tangibles e intangibles en los resultados de los MAC´s.</t>
  </si>
  <si>
    <t>Oportunidad en el desarrollo tecnológico y sus aportes en la actividad de los  MAC´s, Madurez de las tecnologías convencionales, Desarrollo de nuevos productos, Velocidad de transmisión de la tecnología.</t>
  </si>
  <si>
    <r>
      <t xml:space="preserve">Oportunidad con buena posibilidad de abordarse siempre y cuando se profundice en los beneficios esperados en el proceso de una o varias áreas  y/o Partes Interesadas de la cual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</si>
  <si>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claros, generales y específicos en el proceso de varias o todas las áreas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</si>
  <si>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Especificaciones técnicas del bien o servicio solicitado (si aplica)</t>
  </si>
  <si>
    <t>Revisión de la requisición o solicitud del área requirente</t>
  </si>
  <si>
    <t>Identificación de partida y presupuesto autorizado</t>
  </si>
  <si>
    <t>Investigación de Mercado (cuadro comparativo)</t>
  </si>
  <si>
    <t>Se adjudica al Proveedor la Adquisición del bien o servicio</t>
  </si>
  <si>
    <t>Recepción y Salida de Almacén</t>
  </si>
  <si>
    <t>Autorización del Subcomité de Adquisiciones, Arrendamientos y Servicios</t>
  </si>
  <si>
    <t xml:space="preserve">
Proveer un bien o servicio no adecuado</t>
  </si>
  <si>
    <t>Definir el tipo de contrato incorrectamente</t>
  </si>
  <si>
    <t>No se cumpla con la entrega del bien o servicio por la falta de confirmación al Proveedor de que se le adjudica la adquisición</t>
  </si>
  <si>
    <t>Que el registro y la clasificación de los bienes no sea el adecuado</t>
  </si>
  <si>
    <t>Detallar de manera más precisa las características técnicas del bien, con la mayor parte de datos e incluso presentar una muestra tangible por un proveedor específico</t>
  </si>
  <si>
    <t>Monitorear y comparar con carpeta financiera la ministración de recursos en bancos, para de manera inmediata realizar el proceso de compra</t>
  </si>
  <si>
    <t>Contar con un catalogo de proveedores diferenciado por bien o servicio para la adquisición de manera eficaz</t>
  </si>
  <si>
    <t>Generar el expediente del bien a adquirir conforme a los montos de autorizados, detallando la normatividad aplicable que permita clasificar las compras</t>
  </si>
  <si>
    <t>Presentar la solicitud del bien o servicio con toda la documentación necesaria para su autorización</t>
  </si>
  <si>
    <t>* Por omitir o sean insuficientes las especificaciones del bien en la solicitud o requerimiento.</t>
  </si>
  <si>
    <t>* Presupuesto limitado o retraso de la ministración en las estructuras programáticas de proyectos.</t>
  </si>
  <si>
    <t>* No contar con una lista de proveedores amplia y actualizada que limite el margen de estudio.</t>
  </si>
  <si>
    <t>* Actuar apresuradamente por adquirir el bien en tiempo y forma.</t>
  </si>
  <si>
    <t>* Por desconocimiento de la norma administrativa u omisión de procedimientos.</t>
  </si>
  <si>
    <t>* Que el área requirente no haya realizado la solicitud en los tiempos establecidos.</t>
  </si>
  <si>
    <t>* Que no se haga una revisión correcta a la "Requisición del bien y servicio".</t>
  </si>
  <si>
    <t>* No enviar el Pedido - Contrato al Proveedor que se le adjudica la adquisición.</t>
  </si>
  <si>
    <t>* Premura en la solicitud del bien por parte del área requirente.</t>
  </si>
  <si>
    <t>* Evitar la entrega de un bien que no cumpla con las características técnicas solicitadas.</t>
  </si>
  <si>
    <t xml:space="preserve">* Correcta descripción de las características del bien o servicio. </t>
  </si>
  <si>
    <t>* Asegurarse de contar con los recursos disponibles en las estructuras programáticas etiquetadas para la compra del bien.</t>
  </si>
  <si>
    <t xml:space="preserve">* Presentar de manera tangible con el proveedor, en su caso, las características del bien. </t>
  </si>
  <si>
    <t>* No se omita ningún documento y la normativa que ampare la compra.</t>
  </si>
  <si>
    <t xml:space="preserve">* Confirmar que el bien o servicio sea entregado.
</t>
  </si>
  <si>
    <t>* Contar con un registro eficaz y comprobación del ejercicio del presupuesto.</t>
  </si>
  <si>
    <t>* Facilitar la adquisición del bien o servicio.
* La distribución efectiva del bien o servicio sin consecuencias de devolución.</t>
  </si>
  <si>
    <t xml:space="preserve">* Contar con "Requisiciones del bien y servicio", con información adecuada y suficiente para la realizar la compra del bien o servicio en tiempo y forma.
</t>
  </si>
  <si>
    <t>* Permitir ir gestionando de manera anticipada la compra con el proveedor, solicitando el envío de información financiera para la gestión del pago en tiempo y forma.</t>
  </si>
  <si>
    <t>* Precisar y aclarar dudas con el proveedor, para que el bien a adquirir cumpla con las características solicitadas y de esa manera ampliar la cartera de proveedores que pueden satisfacer las necesidades institucionales.</t>
  </si>
  <si>
    <t>* Lograr las mejores condiciones de compra para el Instituto.</t>
  </si>
  <si>
    <t>* La correcta definición del tipo de adquisición.</t>
  </si>
  <si>
    <t>* Aprobación de la compra sin observaciones y limitaciones del bien por parte del Subcomité de Adquisiciones.</t>
  </si>
  <si>
    <t>* Mejores condiciones técnicas y económicas para una mejor decisión ante el Subcomité de Adquisiciones.</t>
  </si>
  <si>
    <t>* Tener un panorama más amplio de las propuestas mas viables y claras de las compras, para su aprobación sin observaciones por el Subcomité de Adquisiciones.</t>
  </si>
  <si>
    <t>* Agilizar la entrega del bien o servicio.
* Cumplir con la satisfacción del usuario en el uso del bien o servicio.</t>
  </si>
  <si>
    <t>* Optimizar el control del almacén y por ende el ejercicio adecuado de los recursos.</t>
  </si>
  <si>
    <t>* Que el bien solicitado no cumpla con las especificaciones requeridas.
* Entregar el bien o servicio a destiempo.</t>
  </si>
  <si>
    <t xml:space="preserve">
* Proveer el bien o servicio de forma extemporánea o que no cumpla con las especificaciones requeridas.</t>
  </si>
  <si>
    <t>* Que no sea posible en tiempo y forma la adquisición del bien o servicio.</t>
  </si>
  <si>
    <t>* Que el cuadro comparativo de costos no sea correcto, lo que implica no tomar la decisión de compra del bien o servicio.</t>
  </si>
  <si>
    <t>* Adquirir bienes que no cumplan las  especificaciones técnicas, ni mejor precio para el Instituto.</t>
  </si>
  <si>
    <t xml:space="preserve">* Que no sea posible la oportuna adquisición del bien o servicio. </t>
  </si>
  <si>
    <t xml:space="preserve">* Que no sea posible en oportunidad la adquisición del bien o servicio. </t>
  </si>
  <si>
    <t>* Que no se cuente con el bien o servicio en tiempo y forma.</t>
  </si>
  <si>
    <t>* No contar con un reporte de existencias almacenarías confiable.
* Perder el control de la distribución de los bienes adquiridos.</t>
  </si>
  <si>
    <t>Asegurar que el requerimiento sea solicitado a través del formato de "Requisición del bien y servicio".</t>
  </si>
  <si>
    <t>Vocales Secretarios Distritales/ Enlaces Administrativos</t>
  </si>
  <si>
    <t>Asegurar que la "Requisición del bien y servicio" sea entregada en los tiempos establecidos por la Coordinación Administrativa.</t>
  </si>
  <si>
    <t>Entregar  al comprador las cotizaciones que cumplen con lo requerido.</t>
  </si>
  <si>
    <t>Asegurar que el tipo de adjudicación es la correcta a través de una revisión documental.</t>
  </si>
  <si>
    <t>Garantizar que la "Requisición del bien y servicio", se presenta con toda la información adicional establecida para su autorización.</t>
  </si>
  <si>
    <t>Confirmar que se lleve a cabo el control sobre las salidas de bienes del almacén del Sistema Integral para la Gestión Administrativa (SIGA).</t>
  </si>
  <si>
    <t>Asegurar la correcta salida del almacén del bien solicitado en el Sistema Integral para la Gestión Administrativa (SIGA).</t>
  </si>
  <si>
    <t>Garantizar que la información indicada en la "Requisición del bien y servicio" este completa y correcta.</t>
  </si>
  <si>
    <t>Monitorear la ministración de recursos cada vez que llega una "Requisición del bien y servicio".</t>
  </si>
  <si>
    <t>Ampliar el Catálogo de Proveedores para facilitar el estudio de Mercado.</t>
  </si>
  <si>
    <t>Garantizar la elaboración del cuadro comparativo.</t>
  </si>
  <si>
    <t>Concentrar la información indicada en la "Requisición del bien y servicio", para el análisis previo a la autorización.</t>
  </si>
  <si>
    <t>Asegurar  que se envíe la confirmación del Pedido- Contrato al proveedor.</t>
  </si>
  <si>
    <t>Asegurar contactar (vía telefónica o visita en sus instalaciones) para reconfirmar al Proveedor fue adjudicado.</t>
  </si>
  <si>
    <t>Elaborar el Catálogo de proveedores.</t>
  </si>
  <si>
    <t>Garantizar que se atienda el Pedido - contrato por parte del Proveedor (confirmación a través del correo electrónico o vía telefónica).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</si>
</sst>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ashed">
        <color theme="2" tint="-0.2499465926084170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86" xfId="0" applyFont="1" applyBorder="1" applyAlignment="1" applyProtection="1">
      <alignment horizontal="center" vertical="center" wrapText="1"/>
      <protection locked="0"/>
    </xf>
    <xf numFmtId="0" fontId="6" fillId="0" borderId="87" xfId="0" applyFont="1" applyBorder="1" applyAlignment="1" applyProtection="1">
      <alignment horizontal="center" vertical="center" wrapText="1"/>
      <protection locked="0"/>
    </xf>
    <xf numFmtId="0" fontId="6" fillId="0" borderId="88" xfId="0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justify" vertical="center" wrapText="1"/>
      <protection locked="0"/>
    </xf>
    <xf numFmtId="0" fontId="6" fillId="0" borderId="46" xfId="0" applyFont="1" applyBorder="1" applyAlignment="1" applyProtection="1">
      <alignment horizontal="justify" vertical="center" wrapText="1"/>
      <protection locked="0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wrapText="1"/>
    </xf>
    <xf numFmtId="0" fontId="13" fillId="0" borderId="21" xfId="0" applyFont="1" applyBorder="1" applyAlignment="1">
      <alignment horizontal="justify" wrapText="1"/>
    </xf>
    <xf numFmtId="0" fontId="13" fillId="0" borderId="17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justify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54" xfId="0" applyFont="1" applyBorder="1" applyAlignment="1" applyProtection="1">
      <alignment horizontal="justify" vertical="center" wrapText="1"/>
      <protection hidden="1"/>
    </xf>
    <xf numFmtId="0" fontId="6" fillId="0" borderId="55" xfId="0" applyFont="1" applyBorder="1" applyAlignment="1" applyProtection="1">
      <alignment horizontal="justify" vertical="center" wrapText="1"/>
      <protection hidden="1"/>
    </xf>
    <xf numFmtId="0" fontId="6" fillId="0" borderId="57" xfId="0" applyFont="1" applyBorder="1" applyAlignment="1" applyProtection="1">
      <alignment horizontal="justify" vertical="center" wrapText="1"/>
      <protection hidden="1"/>
    </xf>
    <xf numFmtId="0" fontId="6" fillId="17" borderId="45" xfId="0" applyFont="1" applyFill="1" applyBorder="1" applyAlignment="1" applyProtection="1">
      <alignment horizontal="center" vertical="center" wrapText="1"/>
      <protection locked="0"/>
    </xf>
    <xf numFmtId="0" fontId="6" fillId="17" borderId="46" xfId="0" applyFont="1" applyFill="1" applyBorder="1" applyAlignment="1" applyProtection="1">
      <alignment horizontal="center" vertical="center" wrapText="1"/>
      <protection locked="0"/>
    </xf>
    <xf numFmtId="0" fontId="6" fillId="17" borderId="58" xfId="0" applyFont="1" applyFill="1" applyBorder="1" applyAlignment="1" applyProtection="1">
      <alignment horizontal="center" vertical="center" wrapText="1"/>
      <protection locked="0"/>
    </xf>
    <xf numFmtId="0" fontId="6" fillId="0" borderId="49" xfId="0" applyFont="1" applyFill="1" applyBorder="1" applyAlignment="1" applyProtection="1">
      <alignment horizontal="center" vertical="center" wrapText="1"/>
      <protection locked="0"/>
    </xf>
    <xf numFmtId="0" fontId="6" fillId="0" borderId="50" xfId="0" applyFont="1" applyFill="1" applyBorder="1" applyAlignment="1" applyProtection="1">
      <alignment horizontal="center" vertical="center" wrapText="1"/>
      <protection locked="0"/>
    </xf>
    <xf numFmtId="0" fontId="6" fillId="0" borderId="51" xfId="0" applyFont="1" applyFill="1" applyBorder="1" applyAlignment="1" applyProtection="1">
      <alignment horizontal="center" vertical="center" wrapText="1"/>
      <protection locked="0"/>
    </xf>
    <xf numFmtId="0" fontId="7" fillId="17" borderId="49" xfId="0" applyFont="1" applyFill="1" applyBorder="1" applyAlignment="1" applyProtection="1">
      <alignment horizontal="center" vertical="center" wrapText="1"/>
      <protection locked="0"/>
    </xf>
    <xf numFmtId="0" fontId="7" fillId="17" borderId="50" xfId="0" applyFont="1" applyFill="1" applyBorder="1" applyAlignment="1" applyProtection="1">
      <alignment horizontal="center" vertical="center" wrapText="1"/>
      <protection locked="0"/>
    </xf>
    <xf numFmtId="0" fontId="7" fillId="17" borderId="51" xfId="0" applyFont="1" applyFill="1" applyBorder="1" applyAlignment="1" applyProtection="1">
      <alignment horizontal="center" vertical="center" wrapText="1"/>
      <protection locked="0"/>
    </xf>
    <xf numFmtId="0" fontId="7" fillId="17" borderId="45" xfId="0" applyFont="1" applyFill="1" applyBorder="1" applyAlignment="1" applyProtection="1">
      <alignment horizontal="justify" vertical="center" wrapText="1"/>
      <protection locked="0"/>
    </xf>
    <xf numFmtId="0" fontId="7" fillId="17" borderId="46" xfId="0" applyFont="1" applyFill="1" applyBorder="1" applyAlignment="1" applyProtection="1">
      <alignment horizontal="justify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center" vertical="center" wrapText="1"/>
      <protection locked="0"/>
    </xf>
    <xf numFmtId="0" fontId="7" fillId="0" borderId="50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54" xfId="0" applyFont="1" applyFill="1" applyBorder="1" applyAlignment="1" applyProtection="1">
      <alignment horizontal="center" vertical="center" wrapText="1"/>
      <protection locked="0"/>
    </xf>
    <xf numFmtId="0" fontId="6" fillId="0" borderId="55" xfId="0" applyFont="1" applyFill="1" applyBorder="1" applyAlignment="1" applyProtection="1">
      <alignment horizontal="center" vertical="center" wrapText="1"/>
      <protection locked="0"/>
    </xf>
    <xf numFmtId="0" fontId="6" fillId="0" borderId="57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Fill="1" applyBorder="1" applyAlignment="1" applyProtection="1">
      <alignment horizontal="justify" vertical="center" wrapText="1"/>
      <protection locked="0"/>
    </xf>
    <xf numFmtId="0" fontId="7" fillId="0" borderId="46" xfId="0" applyFont="1" applyFill="1" applyBorder="1" applyAlignment="1" applyProtection="1">
      <alignment horizontal="justify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54" xfId="0" applyFont="1" applyBorder="1" applyAlignment="1" applyProtection="1">
      <alignment vertical="center" wrapText="1"/>
      <protection hidden="1"/>
    </xf>
    <xf numFmtId="0" fontId="6" fillId="0" borderId="55" xfId="0" applyFont="1" applyBorder="1" applyAlignment="1" applyProtection="1">
      <alignment vertical="center" wrapText="1"/>
      <protection hidden="1"/>
    </xf>
    <xf numFmtId="0" fontId="6" fillId="0" borderId="57" xfId="0" applyFont="1" applyBorder="1" applyAlignment="1" applyProtection="1">
      <alignment vertical="center" wrapText="1"/>
      <protection hidden="1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7" fillId="17" borderId="45" xfId="0" applyFont="1" applyFill="1" applyBorder="1" applyAlignment="1" applyProtection="1">
      <alignment horizontal="center" vertical="center" wrapText="1"/>
      <protection locked="0"/>
    </xf>
    <xf numFmtId="0" fontId="7" fillId="17" borderId="46" xfId="0" applyFont="1" applyFill="1" applyBorder="1" applyAlignment="1" applyProtection="1">
      <alignment horizontal="center" vertical="center" wrapText="1"/>
      <protection locked="0"/>
    </xf>
    <xf numFmtId="0" fontId="7" fillId="17" borderId="58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justify" vertical="center" wrapText="1"/>
      <protection locked="0"/>
    </xf>
    <xf numFmtId="0" fontId="7" fillId="0" borderId="50" xfId="0" applyFont="1" applyFill="1" applyBorder="1" applyAlignment="1" applyProtection="1">
      <alignment horizontal="justify" vertical="center" wrapText="1"/>
      <protection locked="0"/>
    </xf>
    <xf numFmtId="0" fontId="7" fillId="0" borderId="51" xfId="0" applyFont="1" applyFill="1" applyBorder="1" applyAlignment="1" applyProtection="1">
      <alignment horizontal="justify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justify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134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118597</xdr:rowOff>
    </xdr:from>
    <xdr:to>
      <xdr:col>2</xdr:col>
      <xdr:colOff>1479448</xdr:colOff>
      <xdr:row>2</xdr:row>
      <xdr:rowOff>718551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8145" y="302413"/>
          <a:ext cx="1679856" cy="1335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101"/>
  <sheetViews>
    <sheetView showGridLines="0" tabSelected="1" view="pageBreakPreview" zoomScale="57" zoomScaleNormal="90" zoomScaleSheetLayoutView="57" zoomScalePageLayoutView="80" workbookViewId="0">
      <selection activeCell="B62" sqref="B62:E66"/>
    </sheetView>
  </sheetViews>
  <sheetFormatPr baseColWidth="10" defaultColWidth="0.570312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570312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5703125" style="7" customWidth="1"/>
    <col min="11" max="11" width="20" style="7" customWidth="1"/>
    <col min="12" max="12" width="64.140625" style="8" customWidth="1"/>
    <col min="13" max="13" width="29.5703125" style="7" customWidth="1"/>
    <col min="14" max="14" width="16.42578125" style="7" customWidth="1"/>
    <col min="15" max="16384" width="0.5703125" style="7"/>
  </cols>
  <sheetData>
    <row r="2" spans="1:14" ht="57.75" customHeight="1" x14ac:dyDescent="0.25">
      <c r="A2" s="178"/>
      <c r="B2" s="179"/>
      <c r="C2" s="179"/>
      <c r="D2" s="183" t="s">
        <v>165</v>
      </c>
      <c r="E2" s="184"/>
      <c r="F2" s="184"/>
      <c r="G2" s="184"/>
      <c r="H2" s="184"/>
      <c r="I2" s="184"/>
      <c r="J2" s="184"/>
      <c r="K2" s="185"/>
      <c r="L2" s="86" t="s">
        <v>146</v>
      </c>
    </row>
    <row r="3" spans="1:14" ht="60" customHeight="1" x14ac:dyDescent="0.25">
      <c r="A3" s="178"/>
      <c r="B3" s="179"/>
      <c r="C3" s="179"/>
      <c r="D3" s="186" t="s">
        <v>145</v>
      </c>
      <c r="E3" s="187"/>
      <c r="F3" s="187"/>
      <c r="G3" s="187"/>
      <c r="H3" s="187"/>
      <c r="I3" s="187"/>
      <c r="J3" s="187"/>
      <c r="K3" s="187"/>
      <c r="L3" s="87" t="s">
        <v>147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88" t="s">
        <v>131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90"/>
    </row>
    <row r="6" spans="1:14" ht="15" customHeight="1" x14ac:dyDescent="0.25">
      <c r="A6" s="181" t="s">
        <v>89</v>
      </c>
      <c r="B6" s="182"/>
      <c r="C6" s="182"/>
      <c r="D6" s="182"/>
      <c r="E6" s="182"/>
      <c r="F6" s="182"/>
      <c r="G6" s="182"/>
      <c r="H6" s="182"/>
      <c r="I6" s="180" t="s">
        <v>90</v>
      </c>
      <c r="J6" s="180"/>
      <c r="K6" s="180"/>
      <c r="L6" s="200" t="s">
        <v>144</v>
      </c>
      <c r="M6" s="200"/>
      <c r="N6" s="200"/>
    </row>
    <row r="7" spans="1:14" ht="86.1" customHeight="1" x14ac:dyDescent="0.25">
      <c r="A7" s="90" t="s">
        <v>125</v>
      </c>
      <c r="B7" s="90" t="s">
        <v>92</v>
      </c>
      <c r="C7" s="90" t="s">
        <v>134</v>
      </c>
      <c r="D7" s="91" t="s">
        <v>135</v>
      </c>
      <c r="E7" s="91" t="s">
        <v>74</v>
      </c>
      <c r="F7" s="91" t="s">
        <v>75</v>
      </c>
      <c r="G7" s="91" t="s">
        <v>136</v>
      </c>
      <c r="H7" s="91" t="s">
        <v>142</v>
      </c>
      <c r="I7" s="92" t="s">
        <v>32</v>
      </c>
      <c r="J7" s="90" t="s">
        <v>30</v>
      </c>
      <c r="K7" s="90" t="s">
        <v>31</v>
      </c>
      <c r="L7" s="90" t="s">
        <v>69</v>
      </c>
      <c r="M7" s="90" t="s">
        <v>93</v>
      </c>
      <c r="N7" s="90" t="s">
        <v>94</v>
      </c>
    </row>
    <row r="8" spans="1:14" ht="71.25" x14ac:dyDescent="0.25">
      <c r="A8" s="191" t="s">
        <v>130</v>
      </c>
      <c r="B8" s="173" t="s">
        <v>180</v>
      </c>
      <c r="C8" s="170" t="s">
        <v>187</v>
      </c>
      <c r="D8" s="194" t="s">
        <v>16</v>
      </c>
      <c r="E8" s="176" t="s">
        <v>196</v>
      </c>
      <c r="F8" s="176" t="s">
        <v>223</v>
      </c>
      <c r="G8" s="194" t="s">
        <v>13</v>
      </c>
      <c r="H8" s="194" t="s">
        <v>5</v>
      </c>
      <c r="I8" s="168">
        <f>IFERROR(VLOOKUP(H8,Naturaleza,2,FALSE)*VLOOKUP('Matriz Riesgo y Op'!D8,Probabilidad,2,FALSE)*VLOOKUP('Matriz Riesgo y Op'!G8,Impacto,2,FALSE),"")</f>
        <v>10</v>
      </c>
      <c r="J8" s="143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Trivial</v>
      </c>
      <c r="K8" s="146" t="str">
        <f>IFERROR(VLOOKUP(J8,'Parámetros de riesgo'!$B$27:$C$31,2,FALSE),IFERROR(VLOOKUP(J8,'Parámetros de riesgo'!$H$27:$I$30,2,FALSE),""))</f>
        <v>VIGILARLO</v>
      </c>
      <c r="L8" s="197" t="s">
        <v>168</v>
      </c>
      <c r="M8" s="107" t="s">
        <v>240</v>
      </c>
      <c r="N8" s="103" t="s">
        <v>233</v>
      </c>
    </row>
    <row r="9" spans="1:14" ht="14.1" customHeight="1" x14ac:dyDescent="0.25">
      <c r="A9" s="192"/>
      <c r="B9" s="174"/>
      <c r="C9" s="171"/>
      <c r="D9" s="195"/>
      <c r="E9" s="177"/>
      <c r="F9" s="177"/>
      <c r="G9" s="195"/>
      <c r="H9" s="195"/>
      <c r="I9" s="169"/>
      <c r="J9" s="144"/>
      <c r="K9" s="147"/>
      <c r="L9" s="198"/>
      <c r="M9" s="74"/>
      <c r="N9" s="74"/>
    </row>
    <row r="10" spans="1:14" ht="14.1" customHeight="1" x14ac:dyDescent="0.25">
      <c r="A10" s="192"/>
      <c r="B10" s="174"/>
      <c r="C10" s="171"/>
      <c r="D10" s="195"/>
      <c r="E10" s="177"/>
      <c r="F10" s="177"/>
      <c r="G10" s="195"/>
      <c r="H10" s="195"/>
      <c r="I10" s="169"/>
      <c r="J10" s="144"/>
      <c r="K10" s="147"/>
      <c r="L10" s="198"/>
      <c r="M10" s="74"/>
      <c r="N10" s="74"/>
    </row>
    <row r="11" spans="1:14" ht="14.1" customHeight="1" x14ac:dyDescent="0.25">
      <c r="A11" s="192"/>
      <c r="B11" s="174"/>
      <c r="C11" s="171"/>
      <c r="D11" s="195"/>
      <c r="E11" s="177"/>
      <c r="F11" s="177"/>
      <c r="G11" s="195"/>
      <c r="H11" s="195"/>
      <c r="I11" s="169"/>
      <c r="J11" s="144"/>
      <c r="K11" s="147"/>
      <c r="L11" s="198"/>
      <c r="M11" s="74"/>
      <c r="N11" s="74"/>
    </row>
    <row r="12" spans="1:14" ht="14.1" customHeight="1" x14ac:dyDescent="0.25">
      <c r="A12" s="193"/>
      <c r="B12" s="175"/>
      <c r="C12" s="172"/>
      <c r="D12" s="196"/>
      <c r="E12" s="177"/>
      <c r="F12" s="177"/>
      <c r="G12" s="195"/>
      <c r="H12" s="195"/>
      <c r="I12" s="169"/>
      <c r="J12" s="145"/>
      <c r="K12" s="148"/>
      <c r="L12" s="199"/>
      <c r="M12" s="74"/>
      <c r="N12" s="74"/>
    </row>
    <row r="13" spans="1:14" ht="71.25" x14ac:dyDescent="0.25">
      <c r="A13" s="191" t="s">
        <v>130</v>
      </c>
      <c r="B13" s="173" t="s">
        <v>181</v>
      </c>
      <c r="C13" s="173" t="s">
        <v>151</v>
      </c>
      <c r="D13" s="201" t="s">
        <v>16</v>
      </c>
      <c r="E13" s="176" t="s">
        <v>202</v>
      </c>
      <c r="F13" s="176" t="s">
        <v>224</v>
      </c>
      <c r="G13" s="194" t="s">
        <v>13</v>
      </c>
      <c r="H13" s="194" t="s">
        <v>5</v>
      </c>
      <c r="I13" s="168">
        <f>IFERROR(VLOOKUP(H13,Naturaleza,2,FALSE)*VLOOKUP('Matriz Riesgo y Op'!D13,Probabilidad,2,FALSE)*VLOOKUP('Matriz Riesgo y Op'!G13,Impacto,2,FALSE),"")</f>
        <v>10</v>
      </c>
      <c r="J13" s="143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Trivial</v>
      </c>
      <c r="K13" s="146" t="str">
        <f>IFERROR(VLOOKUP(J13,'Parámetros de riesgo'!$B$27:$C$31,2,FALSE),IFERROR(VLOOKUP(J13,'Parámetros de riesgo'!$H$27:$I$30,2,FALSE),""))</f>
        <v>VIGILARLO</v>
      </c>
      <c r="L13" s="197" t="str">
        <f>IFERROR(VLOOKUP(K13,'Parámetros de riesgo'!$C$27:$D$31,2,FALSE),IFERROR(VLOOKUP(K13,'Parámetros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13" s="107" t="s">
        <v>240</v>
      </c>
      <c r="N13" s="103" t="s">
        <v>233</v>
      </c>
    </row>
    <row r="14" spans="1:14" ht="14.1" customHeight="1" x14ac:dyDescent="0.25">
      <c r="A14" s="192"/>
      <c r="B14" s="174"/>
      <c r="C14" s="174"/>
      <c r="D14" s="202"/>
      <c r="E14" s="177"/>
      <c r="F14" s="177"/>
      <c r="G14" s="195"/>
      <c r="H14" s="195"/>
      <c r="I14" s="169"/>
      <c r="J14" s="144"/>
      <c r="K14" s="147"/>
      <c r="L14" s="198"/>
      <c r="M14" s="74"/>
      <c r="N14" s="74"/>
    </row>
    <row r="15" spans="1:14" ht="14.1" customHeight="1" x14ac:dyDescent="0.25">
      <c r="A15" s="192"/>
      <c r="B15" s="174"/>
      <c r="C15" s="174"/>
      <c r="D15" s="202"/>
      <c r="E15" s="177"/>
      <c r="F15" s="177"/>
      <c r="G15" s="195"/>
      <c r="H15" s="195"/>
      <c r="I15" s="169"/>
      <c r="J15" s="144"/>
      <c r="K15" s="147"/>
      <c r="L15" s="198"/>
      <c r="M15" s="74"/>
      <c r="N15" s="74"/>
    </row>
    <row r="16" spans="1:14" ht="14.1" customHeight="1" x14ac:dyDescent="0.25">
      <c r="A16" s="192"/>
      <c r="B16" s="174"/>
      <c r="C16" s="174"/>
      <c r="D16" s="202"/>
      <c r="E16" s="177"/>
      <c r="F16" s="177"/>
      <c r="G16" s="195"/>
      <c r="H16" s="195"/>
      <c r="I16" s="169"/>
      <c r="J16" s="144"/>
      <c r="K16" s="147"/>
      <c r="L16" s="198"/>
      <c r="M16" s="74"/>
      <c r="N16" s="74"/>
    </row>
    <row r="17" spans="1:14" ht="14.1" customHeight="1" x14ac:dyDescent="0.25">
      <c r="A17" s="193"/>
      <c r="B17" s="175"/>
      <c r="C17" s="175"/>
      <c r="D17" s="203"/>
      <c r="E17" s="177"/>
      <c r="F17" s="177"/>
      <c r="G17" s="195"/>
      <c r="H17" s="195"/>
      <c r="I17" s="169"/>
      <c r="J17" s="145"/>
      <c r="K17" s="148"/>
      <c r="L17" s="199"/>
      <c r="M17" s="74"/>
      <c r="N17" s="74"/>
    </row>
    <row r="18" spans="1:14" ht="71.25" x14ac:dyDescent="0.25">
      <c r="A18" s="191" t="s">
        <v>130</v>
      </c>
      <c r="B18" s="173" t="s">
        <v>182</v>
      </c>
      <c r="C18" s="173" t="s">
        <v>153</v>
      </c>
      <c r="D18" s="194" t="s">
        <v>16</v>
      </c>
      <c r="E18" s="176" t="s">
        <v>197</v>
      </c>
      <c r="F18" s="176" t="s">
        <v>225</v>
      </c>
      <c r="G18" s="194" t="s">
        <v>13</v>
      </c>
      <c r="H18" s="194" t="s">
        <v>5</v>
      </c>
      <c r="I18" s="168">
        <f>IFERROR(VLOOKUP(H18,Naturaleza,2,FALSE)*VLOOKUP('Matriz Riesgo y Op'!D18,Probabilidad,2,FALSE)*VLOOKUP('Matriz Riesgo y Op'!G18,Impacto,2,FALSE),"")</f>
        <v>10</v>
      </c>
      <c r="J18" s="143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46" t="str">
        <f>IFERROR(VLOOKUP(J18,'Parámetros de riesgo'!$B$27:$C$31,2,FALSE),IFERROR(VLOOKUP(J18,'Parámetros de riesgo'!$H$27:$I$30,2,FALSE),""))</f>
        <v>VIGILARLO</v>
      </c>
      <c r="L18" s="197" t="str">
        <f>IFERROR(VLOOKUP(K18,'Parámetros de riesgo'!$C$27:$D$31,2,FALSE),IFERROR(VLOOKUP(K18,'Parámetros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18" s="107" t="s">
        <v>241</v>
      </c>
      <c r="N18" s="103" t="s">
        <v>233</v>
      </c>
    </row>
    <row r="19" spans="1:14" ht="14.1" customHeight="1" x14ac:dyDescent="0.25">
      <c r="A19" s="192"/>
      <c r="B19" s="174"/>
      <c r="C19" s="174"/>
      <c r="D19" s="195"/>
      <c r="E19" s="177"/>
      <c r="F19" s="177"/>
      <c r="G19" s="195"/>
      <c r="H19" s="195"/>
      <c r="I19" s="169"/>
      <c r="J19" s="144"/>
      <c r="K19" s="147"/>
      <c r="L19" s="198"/>
      <c r="M19" s="74"/>
      <c r="N19" s="74"/>
    </row>
    <row r="20" spans="1:14" ht="14.1" customHeight="1" x14ac:dyDescent="0.25">
      <c r="A20" s="192"/>
      <c r="B20" s="174"/>
      <c r="C20" s="174"/>
      <c r="D20" s="195"/>
      <c r="E20" s="177"/>
      <c r="F20" s="177"/>
      <c r="G20" s="195"/>
      <c r="H20" s="195"/>
      <c r="I20" s="169"/>
      <c r="J20" s="144"/>
      <c r="K20" s="147"/>
      <c r="L20" s="198"/>
      <c r="M20" s="74"/>
      <c r="N20" s="74"/>
    </row>
    <row r="21" spans="1:14" ht="14.1" customHeight="1" x14ac:dyDescent="0.25">
      <c r="A21" s="192"/>
      <c r="B21" s="174"/>
      <c r="C21" s="174"/>
      <c r="D21" s="195"/>
      <c r="E21" s="177"/>
      <c r="F21" s="177"/>
      <c r="G21" s="195"/>
      <c r="H21" s="195"/>
      <c r="I21" s="169"/>
      <c r="J21" s="144"/>
      <c r="K21" s="147"/>
      <c r="L21" s="198"/>
      <c r="M21" s="74"/>
      <c r="N21" s="74"/>
    </row>
    <row r="22" spans="1:14" ht="14.1" customHeight="1" x14ac:dyDescent="0.25">
      <c r="A22" s="193"/>
      <c r="B22" s="175"/>
      <c r="C22" s="175"/>
      <c r="D22" s="196"/>
      <c r="E22" s="177"/>
      <c r="F22" s="177"/>
      <c r="G22" s="195"/>
      <c r="H22" s="195"/>
      <c r="I22" s="169"/>
      <c r="J22" s="145"/>
      <c r="K22" s="148"/>
      <c r="L22" s="199"/>
      <c r="M22" s="74"/>
      <c r="N22" s="74"/>
    </row>
    <row r="23" spans="1:14" ht="71.25" x14ac:dyDescent="0.25">
      <c r="A23" s="191" t="s">
        <v>130</v>
      </c>
      <c r="B23" s="173" t="s">
        <v>183</v>
      </c>
      <c r="C23" s="173" t="s">
        <v>152</v>
      </c>
      <c r="D23" s="194" t="s">
        <v>16</v>
      </c>
      <c r="E23" s="176" t="s">
        <v>198</v>
      </c>
      <c r="F23" s="176" t="s">
        <v>226</v>
      </c>
      <c r="G23" s="194" t="s">
        <v>13</v>
      </c>
      <c r="H23" s="194" t="s">
        <v>5</v>
      </c>
      <c r="I23" s="168">
        <f>IFERROR(VLOOKUP(H23,Naturaleza,2,FALSE)*VLOOKUP('Matriz Riesgo y Op'!D23,Probabilidad,2,FALSE)*VLOOKUP('Matriz Riesgo y Op'!G23,Impacto,2,FALSE),"")</f>
        <v>10</v>
      </c>
      <c r="J23" s="143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Trivial</v>
      </c>
      <c r="K23" s="146" t="str">
        <f>IFERROR(VLOOKUP(J23,'Parámetros de riesgo'!$B$27:$C$31,2,FALSE),IFERROR(VLOOKUP(J23,'Parámetros de riesgo'!$H$27:$I$30,2,FALSE),""))</f>
        <v>VIGILARLO</v>
      </c>
      <c r="L23" s="197" t="str">
        <f>IFERROR(VLOOKUP(K23,'Parámetros de riesgo'!$C$27:$D$31,2,FALSE),IFERROR(VLOOKUP(K23,'Parámetros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23" s="107" t="s">
        <v>242</v>
      </c>
      <c r="N23" s="103" t="s">
        <v>233</v>
      </c>
    </row>
    <row r="24" spans="1:14" ht="14.1" customHeight="1" x14ac:dyDescent="0.25">
      <c r="A24" s="192"/>
      <c r="B24" s="174"/>
      <c r="C24" s="174"/>
      <c r="D24" s="195"/>
      <c r="E24" s="177"/>
      <c r="F24" s="177"/>
      <c r="G24" s="195"/>
      <c r="H24" s="195"/>
      <c r="I24" s="169"/>
      <c r="J24" s="144"/>
      <c r="K24" s="147"/>
      <c r="L24" s="198"/>
      <c r="M24" s="74"/>
      <c r="N24" s="74"/>
    </row>
    <row r="25" spans="1:14" ht="14.1" customHeight="1" x14ac:dyDescent="0.25">
      <c r="A25" s="192"/>
      <c r="B25" s="174"/>
      <c r="C25" s="174"/>
      <c r="D25" s="195"/>
      <c r="E25" s="177"/>
      <c r="F25" s="177"/>
      <c r="G25" s="195"/>
      <c r="H25" s="195"/>
      <c r="I25" s="169"/>
      <c r="J25" s="144"/>
      <c r="K25" s="147"/>
      <c r="L25" s="198"/>
      <c r="M25" s="74"/>
      <c r="N25" s="74"/>
    </row>
    <row r="26" spans="1:14" ht="14.1" customHeight="1" x14ac:dyDescent="0.25">
      <c r="A26" s="192"/>
      <c r="B26" s="174"/>
      <c r="C26" s="174"/>
      <c r="D26" s="195"/>
      <c r="E26" s="177"/>
      <c r="F26" s="177"/>
      <c r="G26" s="195"/>
      <c r="H26" s="195"/>
      <c r="I26" s="169"/>
      <c r="J26" s="144"/>
      <c r="K26" s="147"/>
      <c r="L26" s="198"/>
      <c r="M26" s="74"/>
      <c r="N26" s="74"/>
    </row>
    <row r="27" spans="1:14" ht="14.1" customHeight="1" x14ac:dyDescent="0.25">
      <c r="A27" s="193"/>
      <c r="B27" s="175"/>
      <c r="C27" s="175"/>
      <c r="D27" s="196"/>
      <c r="E27" s="177"/>
      <c r="F27" s="177"/>
      <c r="G27" s="195"/>
      <c r="H27" s="195"/>
      <c r="I27" s="169"/>
      <c r="J27" s="145"/>
      <c r="K27" s="148"/>
      <c r="L27" s="199"/>
      <c r="M27" s="74"/>
      <c r="N27" s="74"/>
    </row>
    <row r="28" spans="1:14" ht="71.25" x14ac:dyDescent="0.25">
      <c r="A28" s="191" t="s">
        <v>130</v>
      </c>
      <c r="B28" s="152" t="s">
        <v>149</v>
      </c>
      <c r="C28" s="152" t="s">
        <v>162</v>
      </c>
      <c r="D28" s="206" t="s">
        <v>16</v>
      </c>
      <c r="E28" s="161" t="s">
        <v>199</v>
      </c>
      <c r="F28" s="161" t="s">
        <v>227</v>
      </c>
      <c r="G28" s="194" t="s">
        <v>4</v>
      </c>
      <c r="H28" s="194" t="s">
        <v>5</v>
      </c>
      <c r="I28" s="168">
        <f>IFERROR(VLOOKUP(H28,Naturaleza,2,FALSE)*VLOOKUP('Matriz Riesgo y Op'!D28,Probabilidad,2,FALSE)*VLOOKUP('Matriz Riesgo y Op'!G28,Impacto,2,FALSE),"")</f>
        <v>70</v>
      </c>
      <c r="J28" s="143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Trivial</v>
      </c>
      <c r="K28" s="146" t="str">
        <f>IFERROR(VLOOKUP(J28,'Parámetros de riesgo'!$B$27:$C$31,2,FALSE),IFERROR(VLOOKUP(J28,'Parámetros de riesgo'!$H$27:$I$30,2,FALSE),""))</f>
        <v>VIGILARLO</v>
      </c>
      <c r="L28" s="197" t="str">
        <f>IFERROR(VLOOKUP(K28,'Parámetros de riesgo'!$C$27:$D$31,2,FALSE),IFERROR(VLOOKUP(K28,'Parámetros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28" s="107" t="s">
        <v>243</v>
      </c>
      <c r="N28" s="103" t="s">
        <v>233</v>
      </c>
    </row>
    <row r="29" spans="1:14" ht="14.1" customHeight="1" x14ac:dyDescent="0.25">
      <c r="A29" s="192"/>
      <c r="B29" s="153"/>
      <c r="C29" s="153"/>
      <c r="D29" s="207"/>
      <c r="E29" s="162"/>
      <c r="F29" s="162"/>
      <c r="G29" s="195"/>
      <c r="H29" s="195"/>
      <c r="I29" s="169"/>
      <c r="J29" s="144"/>
      <c r="K29" s="147"/>
      <c r="L29" s="198"/>
      <c r="M29" s="74"/>
      <c r="N29" s="74"/>
    </row>
    <row r="30" spans="1:14" ht="14.1" customHeight="1" x14ac:dyDescent="0.25">
      <c r="A30" s="192"/>
      <c r="B30" s="153"/>
      <c r="C30" s="153"/>
      <c r="D30" s="207"/>
      <c r="E30" s="162"/>
      <c r="F30" s="162"/>
      <c r="G30" s="195"/>
      <c r="H30" s="195"/>
      <c r="I30" s="169"/>
      <c r="J30" s="144"/>
      <c r="K30" s="147"/>
      <c r="L30" s="198"/>
      <c r="M30" s="74"/>
      <c r="N30" s="74"/>
    </row>
    <row r="31" spans="1:14" ht="14.1" customHeight="1" x14ac:dyDescent="0.25">
      <c r="A31" s="192"/>
      <c r="B31" s="153"/>
      <c r="C31" s="153"/>
      <c r="D31" s="207"/>
      <c r="E31" s="162"/>
      <c r="F31" s="162"/>
      <c r="G31" s="195"/>
      <c r="H31" s="195"/>
      <c r="I31" s="169"/>
      <c r="J31" s="144"/>
      <c r="K31" s="147"/>
      <c r="L31" s="198"/>
      <c r="M31" s="74"/>
      <c r="N31" s="74"/>
    </row>
    <row r="32" spans="1:14" ht="14.1" customHeight="1" x14ac:dyDescent="0.25">
      <c r="A32" s="193"/>
      <c r="B32" s="154"/>
      <c r="C32" s="154"/>
      <c r="D32" s="208"/>
      <c r="E32" s="162"/>
      <c r="F32" s="162"/>
      <c r="G32" s="195"/>
      <c r="H32" s="195"/>
      <c r="I32" s="169"/>
      <c r="J32" s="145"/>
      <c r="K32" s="148"/>
      <c r="L32" s="199"/>
      <c r="M32" s="74"/>
      <c r="N32" s="74"/>
    </row>
    <row r="33" spans="1:14" ht="71.25" x14ac:dyDescent="0.25">
      <c r="A33" s="191" t="s">
        <v>130</v>
      </c>
      <c r="B33" s="173" t="s">
        <v>150</v>
      </c>
      <c r="C33" s="173" t="s">
        <v>188</v>
      </c>
      <c r="D33" s="194" t="s">
        <v>16</v>
      </c>
      <c r="E33" s="176" t="s">
        <v>200</v>
      </c>
      <c r="F33" s="176" t="s">
        <v>228</v>
      </c>
      <c r="G33" s="194" t="s">
        <v>13</v>
      </c>
      <c r="H33" s="194" t="s">
        <v>5</v>
      </c>
      <c r="I33" s="168">
        <f>IFERROR(VLOOKUP(H33,Naturaleza,2,FALSE)*VLOOKUP('Matriz Riesgo y Op'!D33,Probabilidad,2,FALSE)*VLOOKUP('Matriz Riesgo y Op'!G33,Impacto,2,FALSE),"")</f>
        <v>10</v>
      </c>
      <c r="J33" s="143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Trivial</v>
      </c>
      <c r="K33" s="146" t="str">
        <f>IFERROR(VLOOKUP(J33,'Parámetros de riesgo'!$B$27:$C$31,2,FALSE),IFERROR(VLOOKUP(J33,'Parámetros de riesgo'!$H$27:$I$30,2,FALSE),""))</f>
        <v>VIGILARLO</v>
      </c>
      <c r="L33" s="197" t="str">
        <f>IFERROR(VLOOKUP(K33,'Parámetros de riesgo'!$C$27:$D$31,2,FALSE),IFERROR(VLOOKUP(K33,'Parámetros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33" s="107" t="s">
        <v>154</v>
      </c>
      <c r="N33" s="103" t="s">
        <v>233</v>
      </c>
    </row>
    <row r="34" spans="1:14" ht="14.1" customHeight="1" x14ac:dyDescent="0.25">
      <c r="A34" s="192"/>
      <c r="B34" s="174"/>
      <c r="C34" s="174"/>
      <c r="D34" s="195"/>
      <c r="E34" s="177"/>
      <c r="F34" s="177"/>
      <c r="G34" s="195"/>
      <c r="H34" s="195"/>
      <c r="I34" s="169"/>
      <c r="J34" s="144"/>
      <c r="K34" s="147"/>
      <c r="L34" s="198"/>
      <c r="M34" s="74"/>
      <c r="N34" s="74"/>
    </row>
    <row r="35" spans="1:14" ht="14.1" customHeight="1" x14ac:dyDescent="0.25">
      <c r="A35" s="192"/>
      <c r="B35" s="174"/>
      <c r="C35" s="174"/>
      <c r="D35" s="195"/>
      <c r="E35" s="177"/>
      <c r="F35" s="177"/>
      <c r="G35" s="195"/>
      <c r="H35" s="195"/>
      <c r="I35" s="169"/>
      <c r="J35" s="144"/>
      <c r="K35" s="147"/>
      <c r="L35" s="198"/>
      <c r="M35" s="74"/>
      <c r="N35" s="74"/>
    </row>
    <row r="36" spans="1:14" ht="14.1" customHeight="1" x14ac:dyDescent="0.25">
      <c r="A36" s="192"/>
      <c r="B36" s="174"/>
      <c r="C36" s="174"/>
      <c r="D36" s="195"/>
      <c r="E36" s="177"/>
      <c r="F36" s="177"/>
      <c r="G36" s="195"/>
      <c r="H36" s="195"/>
      <c r="I36" s="169"/>
      <c r="J36" s="144"/>
      <c r="K36" s="147"/>
      <c r="L36" s="198"/>
      <c r="M36" s="74"/>
      <c r="N36" s="74"/>
    </row>
    <row r="37" spans="1:14" ht="14.1" customHeight="1" x14ac:dyDescent="0.25">
      <c r="A37" s="193"/>
      <c r="B37" s="175"/>
      <c r="C37" s="175"/>
      <c r="D37" s="196"/>
      <c r="E37" s="177"/>
      <c r="F37" s="177"/>
      <c r="G37" s="195"/>
      <c r="H37" s="195"/>
      <c r="I37" s="169"/>
      <c r="J37" s="145"/>
      <c r="K37" s="148"/>
      <c r="L37" s="199"/>
      <c r="M37" s="74"/>
      <c r="N37" s="74"/>
    </row>
    <row r="38" spans="1:14" ht="71.25" x14ac:dyDescent="0.25">
      <c r="A38" s="191" t="s">
        <v>130</v>
      </c>
      <c r="B38" s="173" t="s">
        <v>186</v>
      </c>
      <c r="C38" s="173" t="s">
        <v>155</v>
      </c>
      <c r="D38" s="194" t="s">
        <v>16</v>
      </c>
      <c r="E38" s="176" t="s">
        <v>201</v>
      </c>
      <c r="F38" s="176" t="s">
        <v>229</v>
      </c>
      <c r="G38" s="194" t="s">
        <v>13</v>
      </c>
      <c r="H38" s="194" t="s">
        <v>5</v>
      </c>
      <c r="I38" s="168">
        <f>IFERROR(VLOOKUP(H38,Naturaleza,2,FALSE)*VLOOKUP('Matriz Riesgo y Op'!D38,Probabilidad,2,FALSE)*VLOOKUP('Matriz Riesgo y Op'!G38,Impacto,2,FALSE),"")</f>
        <v>10</v>
      </c>
      <c r="J38" s="143" t="str">
        <f t="shared" ref="J38" si="6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Trivial</v>
      </c>
      <c r="K38" s="146" t="str">
        <f>IFERROR(VLOOKUP(J38,'Parámetros de riesgo'!$B$27:$C$31,2,FALSE),IFERROR(VLOOKUP(J38,'Parámetros de riesgo'!$H$27:$I$30,2,FALSE),""))</f>
        <v>VIGILARLO</v>
      </c>
      <c r="L38" s="197" t="str">
        <f>IFERROR(VLOOKUP(K38,'Parámetros de riesgo'!$C$27:$D$31,2,FALSE),IFERROR(VLOOKUP(K38,'Parámetros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38" s="107" t="s">
        <v>244</v>
      </c>
      <c r="N38" s="103" t="s">
        <v>233</v>
      </c>
    </row>
    <row r="39" spans="1:14" ht="14.1" customHeight="1" x14ac:dyDescent="0.25">
      <c r="A39" s="192"/>
      <c r="B39" s="174"/>
      <c r="C39" s="174"/>
      <c r="D39" s="195"/>
      <c r="E39" s="177"/>
      <c r="F39" s="177"/>
      <c r="G39" s="195"/>
      <c r="H39" s="195"/>
      <c r="I39" s="169"/>
      <c r="J39" s="144"/>
      <c r="K39" s="147"/>
      <c r="L39" s="198"/>
      <c r="M39" s="74"/>
      <c r="N39" s="74"/>
    </row>
    <row r="40" spans="1:14" ht="14.1" customHeight="1" x14ac:dyDescent="0.25">
      <c r="A40" s="192"/>
      <c r="B40" s="174"/>
      <c r="C40" s="174"/>
      <c r="D40" s="195"/>
      <c r="E40" s="177"/>
      <c r="F40" s="177"/>
      <c r="G40" s="195"/>
      <c r="H40" s="195"/>
      <c r="I40" s="169"/>
      <c r="J40" s="144"/>
      <c r="K40" s="147"/>
      <c r="L40" s="198"/>
      <c r="M40" s="74"/>
      <c r="N40" s="74"/>
    </row>
    <row r="41" spans="1:14" ht="14.1" customHeight="1" x14ac:dyDescent="0.25">
      <c r="A41" s="192"/>
      <c r="B41" s="174"/>
      <c r="C41" s="174"/>
      <c r="D41" s="195"/>
      <c r="E41" s="177"/>
      <c r="F41" s="177"/>
      <c r="G41" s="195"/>
      <c r="H41" s="195"/>
      <c r="I41" s="169"/>
      <c r="J41" s="144"/>
      <c r="K41" s="147"/>
      <c r="L41" s="198"/>
      <c r="M41" s="74"/>
      <c r="N41" s="74"/>
    </row>
    <row r="42" spans="1:14" ht="14.1" customHeight="1" x14ac:dyDescent="0.25">
      <c r="A42" s="193"/>
      <c r="B42" s="175"/>
      <c r="C42" s="175"/>
      <c r="D42" s="196"/>
      <c r="E42" s="177"/>
      <c r="F42" s="177"/>
      <c r="G42" s="195"/>
      <c r="H42" s="195"/>
      <c r="I42" s="169"/>
      <c r="J42" s="145"/>
      <c r="K42" s="148"/>
      <c r="L42" s="199"/>
      <c r="M42" s="74"/>
      <c r="N42" s="74"/>
    </row>
    <row r="43" spans="1:14" ht="71.25" x14ac:dyDescent="0.25">
      <c r="A43" s="191" t="s">
        <v>130</v>
      </c>
      <c r="B43" s="170" t="s">
        <v>184</v>
      </c>
      <c r="C43" s="173" t="s">
        <v>189</v>
      </c>
      <c r="D43" s="194" t="s">
        <v>16</v>
      </c>
      <c r="E43" s="176" t="s">
        <v>203</v>
      </c>
      <c r="F43" s="176" t="s">
        <v>230</v>
      </c>
      <c r="G43" s="194" t="s">
        <v>13</v>
      </c>
      <c r="H43" s="194" t="s">
        <v>5</v>
      </c>
      <c r="I43" s="168">
        <f>IFERROR(VLOOKUP(H43,Naturaleza,2,FALSE)*VLOOKUP('Matriz Riesgo y Op'!D43,Probabilidad,2,FALSE)*VLOOKUP('Matriz Riesgo y Op'!G43,Impacto,2,FALSE),"")</f>
        <v>10</v>
      </c>
      <c r="J43" s="143" t="str">
        <f t="shared" ref="J43" si="7">IF(A43="Riesgo",IF(I43="","",IF(AND(I43&gt;0,I43&lt;200),"Trivial",IF(OR(I43=200,AND(I43&gt;200,I43&lt;400)),"Tolerable",IF(OR(I43=400,AND(I43&gt;400,I43&lt;600)),"Moderado",IF(OR(I43=600,AND(I43&gt;600,I43&lt;800)),"Importante",IF(OR(I43=800,I43&gt;800,I43&lt;1000,I43=1000),"Intolerable","")))))),IF(A43="Oportunidad",IF(I43="","",IF(AND(I43&gt;0,I43&lt;250),"Limitada",IF(OR(I43=250,AND(I43&gt;250,I43&lt;500)),"Media",IF(OR(I43=500,AND(I43&gt;500,I43&lt;750)),"Potencial",IF(OR(I43=750,AND(I43&gt;750,I43&lt;=1000)),"Sobresaliente",""))))),""))</f>
        <v>Trivial</v>
      </c>
      <c r="K43" s="146" t="str">
        <f>IFERROR(VLOOKUP(J43,'Parámetros de riesgo'!$B$27:$C$31,2,FALSE),IFERROR(VLOOKUP(J43,'Parámetros de riesgo'!$H$27:$I$30,2,FALSE),""))</f>
        <v>VIGILARLO</v>
      </c>
      <c r="L43" s="197" t="str">
        <f>IFERROR(VLOOKUP(K43,'Parámetros de riesgo'!$C$27:$D$31,2,FALSE),IFERROR(VLOOKUP(K43,'Parámetros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43" s="107" t="s">
        <v>245</v>
      </c>
      <c r="N43" s="103" t="s">
        <v>233</v>
      </c>
    </row>
    <row r="44" spans="1:14" ht="71.25" x14ac:dyDescent="0.25">
      <c r="A44" s="192"/>
      <c r="B44" s="171"/>
      <c r="C44" s="174"/>
      <c r="D44" s="195"/>
      <c r="E44" s="177"/>
      <c r="F44" s="177"/>
      <c r="G44" s="195"/>
      <c r="H44" s="195"/>
      <c r="I44" s="169"/>
      <c r="J44" s="144"/>
      <c r="K44" s="147"/>
      <c r="L44" s="198"/>
      <c r="M44" s="8" t="s">
        <v>248</v>
      </c>
      <c r="N44" s="103" t="s">
        <v>233</v>
      </c>
    </row>
    <row r="45" spans="1:14" ht="14.1" customHeight="1" x14ac:dyDescent="0.25">
      <c r="A45" s="192"/>
      <c r="B45" s="171"/>
      <c r="C45" s="174"/>
      <c r="D45" s="195"/>
      <c r="E45" s="177"/>
      <c r="F45" s="177"/>
      <c r="G45" s="195"/>
      <c r="H45" s="195"/>
      <c r="I45" s="169"/>
      <c r="J45" s="144"/>
      <c r="K45" s="147"/>
      <c r="L45" s="198"/>
      <c r="M45" s="74"/>
      <c r="N45" s="74"/>
    </row>
    <row r="46" spans="1:14" ht="14.1" customHeight="1" x14ac:dyDescent="0.25">
      <c r="A46" s="192"/>
      <c r="B46" s="171"/>
      <c r="C46" s="174"/>
      <c r="D46" s="195"/>
      <c r="E46" s="177"/>
      <c r="F46" s="177"/>
      <c r="G46" s="195"/>
      <c r="H46" s="195"/>
      <c r="I46" s="169"/>
      <c r="J46" s="144"/>
      <c r="K46" s="147"/>
      <c r="L46" s="198"/>
      <c r="M46" s="74"/>
      <c r="N46" s="74"/>
    </row>
    <row r="47" spans="1:14" ht="14.1" customHeight="1" x14ac:dyDescent="0.25">
      <c r="A47" s="193"/>
      <c r="B47" s="172"/>
      <c r="C47" s="175"/>
      <c r="D47" s="196"/>
      <c r="E47" s="177"/>
      <c r="F47" s="177"/>
      <c r="G47" s="195"/>
      <c r="H47" s="195"/>
      <c r="I47" s="169"/>
      <c r="J47" s="145"/>
      <c r="K47" s="148"/>
      <c r="L47" s="199"/>
      <c r="M47" s="74"/>
      <c r="N47" s="74"/>
    </row>
    <row r="48" spans="1:14" ht="71.25" x14ac:dyDescent="0.25">
      <c r="A48" s="191" t="s">
        <v>130</v>
      </c>
      <c r="B48" s="152" t="s">
        <v>185</v>
      </c>
      <c r="C48" s="152" t="s">
        <v>190</v>
      </c>
      <c r="D48" s="206" t="s">
        <v>16</v>
      </c>
      <c r="E48" s="161" t="s">
        <v>204</v>
      </c>
      <c r="F48" s="161" t="s">
        <v>231</v>
      </c>
      <c r="G48" s="194" t="s">
        <v>4</v>
      </c>
      <c r="H48" s="194" t="s">
        <v>5</v>
      </c>
      <c r="I48" s="168">
        <f>IFERROR(VLOOKUP(H48,Naturaleza,2,FALSE)*VLOOKUP('Matriz Riesgo y Op'!D48,Probabilidad,2,FALSE)*VLOOKUP('Matriz Riesgo y Op'!G48,Impacto,2,FALSE),"")</f>
        <v>70</v>
      </c>
      <c r="J48" s="143" t="str">
        <f t="shared" ref="J48" si="8">IF(A48="Riesgo",IF(I48="","",IF(AND(I48&gt;0,I48&lt;200),"Trivial",IF(OR(I48=200,AND(I48&gt;200,I48&lt;400)),"Tolerable",IF(OR(I48=400,AND(I48&gt;400,I48&lt;600)),"Moderado",IF(OR(I48=600,AND(I48&gt;600,I48&lt;800)),"Importante",IF(OR(I48=800,I48&gt;800,I48&lt;1000,I48=1000),"Intolerable","")))))),IF(A48="Oportunidad",IF(I48="","",IF(AND(I48&gt;0,I48&lt;250),"Limitada",IF(OR(I48=250,AND(I48&gt;250,I48&lt;500)),"Media",IF(OR(I48=500,AND(I48&gt;500,I48&lt;750)),"Potencial",IF(OR(I48=750,AND(I48&gt;750,I48&lt;=1000)),"Sobresaliente",""))))),""))</f>
        <v>Trivial</v>
      </c>
      <c r="K48" s="146" t="str">
        <f>IFERROR(VLOOKUP(J48,'Parámetros de riesgo'!$B$27:$C$31,2,FALSE),IFERROR(VLOOKUP(J48,'Parámetros de riesgo'!$H$27:$I$30,2,FALSE),""))</f>
        <v>VIGILARLO</v>
      </c>
      <c r="L48" s="197" t="str">
        <f>IFERROR(VLOOKUP(K48,'Parámetros de riesgo'!$C$27:$D$31,2,FALSE),IFERROR(VLOOKUP(K48,'Parámetros de riesgo'!$I$27:$J$30,2,FALSE),""))</f>
        <v>Control rutinario, no afecta la secuencia e integridad del proceso y/o Partes Interesadas. Documentar las acciones de respuesta en la Evaluación de Efectividad de riesgos y oportunidades.</v>
      </c>
      <c r="M48" s="107" t="s">
        <v>238</v>
      </c>
      <c r="N48" s="103" t="s">
        <v>233</v>
      </c>
    </row>
    <row r="49" spans="1:14" ht="14.1" customHeight="1" x14ac:dyDescent="0.25">
      <c r="A49" s="192"/>
      <c r="B49" s="153"/>
      <c r="C49" s="153"/>
      <c r="D49" s="207"/>
      <c r="E49" s="162"/>
      <c r="F49" s="162"/>
      <c r="G49" s="195"/>
      <c r="H49" s="195"/>
      <c r="I49" s="169"/>
      <c r="J49" s="144"/>
      <c r="K49" s="147"/>
      <c r="L49" s="198"/>
      <c r="M49" s="74"/>
      <c r="N49" s="74"/>
    </row>
    <row r="50" spans="1:14" ht="14.1" customHeight="1" x14ac:dyDescent="0.25">
      <c r="A50" s="192"/>
      <c r="B50" s="153"/>
      <c r="C50" s="153"/>
      <c r="D50" s="207"/>
      <c r="E50" s="162"/>
      <c r="F50" s="162"/>
      <c r="G50" s="195"/>
      <c r="H50" s="195"/>
      <c r="I50" s="169"/>
      <c r="J50" s="144"/>
      <c r="K50" s="147"/>
      <c r="L50" s="198"/>
      <c r="M50" s="74"/>
      <c r="N50" s="74"/>
    </row>
    <row r="51" spans="1:14" ht="14.1" customHeight="1" x14ac:dyDescent="0.25">
      <c r="A51" s="192"/>
      <c r="B51" s="153"/>
      <c r="C51" s="153"/>
      <c r="D51" s="207"/>
      <c r="E51" s="162"/>
      <c r="F51" s="162"/>
      <c r="G51" s="195"/>
      <c r="H51" s="195"/>
      <c r="I51" s="169"/>
      <c r="J51" s="144"/>
      <c r="K51" s="147"/>
      <c r="L51" s="198"/>
      <c r="M51" s="74"/>
      <c r="N51" s="74"/>
    </row>
    <row r="52" spans="1:14" ht="14.1" customHeight="1" x14ac:dyDescent="0.25">
      <c r="A52" s="193"/>
      <c r="B52" s="154"/>
      <c r="C52" s="154"/>
      <c r="D52" s="208"/>
      <c r="E52" s="162"/>
      <c r="F52" s="162"/>
      <c r="G52" s="195"/>
      <c r="H52" s="195"/>
      <c r="I52" s="169"/>
      <c r="J52" s="145"/>
      <c r="K52" s="148"/>
      <c r="L52" s="199"/>
      <c r="M52" s="74"/>
      <c r="N52" s="74"/>
    </row>
    <row r="53" spans="1:14" ht="14.1" customHeight="1" x14ac:dyDescent="0.25">
      <c r="A53" s="72"/>
      <c r="B53" s="72"/>
      <c r="C53" s="72"/>
      <c r="D53" s="73"/>
      <c r="E53" s="73"/>
      <c r="F53" s="73"/>
      <c r="G53" s="73"/>
      <c r="H53" s="73"/>
      <c r="I53" s="93"/>
      <c r="J53" s="75"/>
      <c r="K53" s="75"/>
      <c r="L53" s="75"/>
      <c r="M53" s="75"/>
      <c r="N53" s="75"/>
    </row>
    <row r="54" spans="1:14" ht="30" customHeight="1" x14ac:dyDescent="0.25">
      <c r="A54" s="188" t="s">
        <v>132</v>
      </c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90"/>
    </row>
    <row r="55" spans="1:14" ht="15" customHeight="1" x14ac:dyDescent="0.25">
      <c r="A55" s="204" t="s">
        <v>89</v>
      </c>
      <c r="B55" s="205"/>
      <c r="C55" s="205"/>
      <c r="D55" s="205"/>
      <c r="E55" s="205"/>
      <c r="F55" s="205"/>
      <c r="G55" s="205"/>
      <c r="H55" s="205"/>
      <c r="I55" s="212" t="s">
        <v>90</v>
      </c>
      <c r="J55" s="212"/>
      <c r="K55" s="212"/>
      <c r="L55" s="213" t="s">
        <v>91</v>
      </c>
      <c r="M55" s="213"/>
      <c r="N55" s="213"/>
    </row>
    <row r="56" spans="1:14" ht="86.1" customHeight="1" x14ac:dyDescent="0.25">
      <c r="A56" s="91" t="s">
        <v>125</v>
      </c>
      <c r="B56" s="91" t="s">
        <v>92</v>
      </c>
      <c r="C56" s="91" t="s">
        <v>143</v>
      </c>
      <c r="D56" s="91" t="s">
        <v>137</v>
      </c>
      <c r="E56" s="92" t="s">
        <v>138</v>
      </c>
      <c r="F56" s="90" t="s">
        <v>139</v>
      </c>
      <c r="G56" s="90" t="s">
        <v>140</v>
      </c>
      <c r="H56" s="90" t="s">
        <v>141</v>
      </c>
      <c r="I56" s="90" t="s">
        <v>32</v>
      </c>
      <c r="J56" s="90" t="s">
        <v>30</v>
      </c>
      <c r="K56" s="94" t="s">
        <v>31</v>
      </c>
      <c r="L56" s="90" t="s">
        <v>69</v>
      </c>
      <c r="M56" s="90" t="s">
        <v>93</v>
      </c>
      <c r="N56" s="90" t="s">
        <v>94</v>
      </c>
    </row>
    <row r="57" spans="1:14" ht="71.25" x14ac:dyDescent="0.25">
      <c r="A57" s="155" t="s">
        <v>129</v>
      </c>
      <c r="B57" s="173" t="s">
        <v>180</v>
      </c>
      <c r="C57" s="155" t="s">
        <v>191</v>
      </c>
      <c r="D57" s="165" t="s">
        <v>12</v>
      </c>
      <c r="E57" s="209" t="s">
        <v>205</v>
      </c>
      <c r="F57" s="209" t="s">
        <v>212</v>
      </c>
      <c r="G57" s="163" t="s">
        <v>4</v>
      </c>
      <c r="H57" s="165" t="s">
        <v>5</v>
      </c>
      <c r="I57" s="168">
        <f>IFERROR(VLOOKUP(H57,Naturaleza,2,FALSE)*VLOOKUP('Matriz Riesgo y Op'!D57,Probabilidad,2,FALSE)*VLOOKUP('Matriz Riesgo y Op'!G57,Impacto,2,FALSE),"")</f>
        <v>700</v>
      </c>
      <c r="J57" s="143" t="str">
        <f t="shared" ref="J57" si="9">IF(A57="Riesgo",IF(I57="","",IF(AND(I57&gt;0,I57&lt;200),"Trivial",IF(OR(I57=200,AND(I57&gt;200,I57&lt;400)),"Tolerable",IF(OR(I57=400,AND(I57&gt;400,I57&lt;600)),"Moderado",IF(OR(I57=600,AND(I57&gt;600,I57&lt;800)),"Importante",IF(OR(I57=800,I57&gt;800,I57&lt;1000,I57=1000),"Intolerable","")))))),IF(A57="Oportunidad",IF(I57="","",IF(AND(I57&gt;0,I57&lt;250),"Limitada",IF(OR(I57=250,AND(I57&gt;250,I57&lt;500)),"Media",IF(OR(I57=500,AND(I57&gt;500,I57&lt;750)),"Potencial",IF(OR(I57=750,AND(I57&gt;750,I57&lt;=1000)),"Sobresaliente",""))))),""))</f>
        <v>Potencial</v>
      </c>
      <c r="K57" s="146" t="str">
        <f>IFERROR(VLOOKUP(J57,'Parámetros de riesgo'!$B$27:$C$31,2,FALSE),IFERROR(VLOOKUP(J57,'Parámetros de riesgo'!$H$27:$I$30,2,FALSE),""))</f>
        <v>APROPIARSE</v>
      </c>
      <c r="L57" s="149" t="str">
        <f>IFERROR(VLOOKUP(K57,'Parámetros de riesgo'!$C$27:$D$31,2,FALSE),IFERROR(VLOOKUP(K57,'Parámetros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57" s="106" t="s">
        <v>232</v>
      </c>
      <c r="N57" s="103" t="s">
        <v>233</v>
      </c>
    </row>
    <row r="58" spans="1:14" ht="116.25" customHeight="1" x14ac:dyDescent="0.25">
      <c r="A58" s="156"/>
      <c r="B58" s="174"/>
      <c r="C58" s="156"/>
      <c r="D58" s="166"/>
      <c r="E58" s="210"/>
      <c r="F58" s="210"/>
      <c r="G58" s="164"/>
      <c r="H58" s="166"/>
      <c r="I58" s="169"/>
      <c r="J58" s="144"/>
      <c r="K58" s="147"/>
      <c r="L58" s="150"/>
      <c r="M58" s="106" t="s">
        <v>157</v>
      </c>
      <c r="N58" s="103" t="s">
        <v>233</v>
      </c>
    </row>
    <row r="59" spans="1:14" ht="14.1" customHeight="1" x14ac:dyDescent="0.25">
      <c r="A59" s="156"/>
      <c r="B59" s="174"/>
      <c r="C59" s="156"/>
      <c r="D59" s="166"/>
      <c r="E59" s="210"/>
      <c r="F59" s="210"/>
      <c r="G59" s="164"/>
      <c r="H59" s="166"/>
      <c r="I59" s="169"/>
      <c r="J59" s="144"/>
      <c r="K59" s="147"/>
      <c r="L59" s="150"/>
      <c r="M59" s="96"/>
      <c r="N59" s="104"/>
    </row>
    <row r="60" spans="1:14" ht="14.1" customHeight="1" x14ac:dyDescent="0.25">
      <c r="A60" s="156"/>
      <c r="B60" s="174"/>
      <c r="C60" s="156"/>
      <c r="D60" s="166"/>
      <c r="E60" s="210"/>
      <c r="F60" s="210"/>
      <c r="G60" s="164"/>
      <c r="H60" s="166"/>
      <c r="I60" s="169"/>
      <c r="J60" s="144"/>
      <c r="K60" s="147"/>
      <c r="L60" s="150"/>
      <c r="M60" s="96"/>
      <c r="N60" s="104"/>
    </row>
    <row r="61" spans="1:14" ht="14.1" customHeight="1" x14ac:dyDescent="0.25">
      <c r="A61" s="157"/>
      <c r="B61" s="175"/>
      <c r="C61" s="157"/>
      <c r="D61" s="167"/>
      <c r="E61" s="211"/>
      <c r="F61" s="211"/>
      <c r="G61" s="164"/>
      <c r="H61" s="167"/>
      <c r="I61" s="169"/>
      <c r="J61" s="145"/>
      <c r="K61" s="148"/>
      <c r="L61" s="151"/>
      <c r="M61" s="96"/>
      <c r="N61" s="105"/>
    </row>
    <row r="62" spans="1:14" ht="71.25" x14ac:dyDescent="0.25">
      <c r="A62" s="155" t="s">
        <v>129</v>
      </c>
      <c r="B62" s="173" t="s">
        <v>181</v>
      </c>
      <c r="C62" s="173" t="s">
        <v>156</v>
      </c>
      <c r="D62" s="165" t="s">
        <v>12</v>
      </c>
      <c r="E62" s="176" t="s">
        <v>206</v>
      </c>
      <c r="F62" s="176" t="s">
        <v>213</v>
      </c>
      <c r="G62" s="163" t="s">
        <v>4</v>
      </c>
      <c r="H62" s="165" t="s">
        <v>5</v>
      </c>
      <c r="I62" s="168">
        <f>IFERROR(VLOOKUP(H62,Naturaleza,2,FALSE)*VLOOKUP('Matriz Riesgo y Op'!D62,Probabilidad,2,FALSE)*VLOOKUP('Matriz Riesgo y Op'!G62,Impacto,2,FALSE),"")</f>
        <v>700</v>
      </c>
      <c r="J62" s="143" t="str">
        <f t="shared" ref="J62" si="10">IF(A62="Riesgo",IF(I62="","",IF(AND(I62&gt;0,I62&lt;200),"Trivial",IF(OR(I62=200,AND(I62&gt;200,I62&lt;400)),"Tolerable",IF(OR(I62=400,AND(I62&gt;400,I62&lt;600)),"Moderado",IF(OR(I62=600,AND(I62&gt;600,I62&lt;800)),"Importante",IF(OR(I62=800,I62&gt;800,I62&lt;1000,I62=1000),"Intolerable","")))))),IF(A62="Oportunidad",IF(I62="","",IF(AND(I62&gt;0,I62&lt;250),"Limitada",IF(OR(I62=250,AND(I62&gt;250,I62&lt;500)),"Media",IF(OR(I62=500,AND(I62&gt;500,I62&lt;750)),"Potencial",IF(OR(I62=750,AND(I62&gt;750,I62&lt;=1000)),"Sobresaliente",""))))),""))</f>
        <v>Potencial</v>
      </c>
      <c r="K62" s="146" t="str">
        <f>IFERROR(VLOOKUP(J62,'Parámetros de riesgo'!$B$27:$C$31,2,FALSE),IFERROR(VLOOKUP(J62,'Parámetros de riesgo'!$H$27:$I$30,2,FALSE),""))</f>
        <v>APROPIARSE</v>
      </c>
      <c r="L62" s="149" t="str">
        <f>IFERROR(VLOOKUP(K62,'Parámetros de riesgo'!$C$27:$D$31,2,FALSE),IFERROR(VLOOKUP(K62,'Parámetros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2" s="106" t="s">
        <v>234</v>
      </c>
      <c r="N62" s="103" t="s">
        <v>233</v>
      </c>
    </row>
    <row r="63" spans="1:14" ht="71.25" x14ac:dyDescent="0.25">
      <c r="A63" s="156"/>
      <c r="B63" s="174"/>
      <c r="C63" s="174"/>
      <c r="D63" s="166"/>
      <c r="E63" s="177"/>
      <c r="F63" s="177"/>
      <c r="G63" s="164"/>
      <c r="H63" s="166"/>
      <c r="I63" s="169"/>
      <c r="J63" s="144"/>
      <c r="K63" s="147"/>
      <c r="L63" s="150"/>
      <c r="M63" s="106" t="s">
        <v>232</v>
      </c>
      <c r="N63" s="103" t="s">
        <v>233</v>
      </c>
    </row>
    <row r="64" spans="1:14" ht="14.1" customHeight="1" x14ac:dyDescent="0.25">
      <c r="A64" s="156"/>
      <c r="B64" s="174"/>
      <c r="C64" s="174"/>
      <c r="D64" s="166"/>
      <c r="E64" s="177"/>
      <c r="F64" s="177"/>
      <c r="G64" s="164"/>
      <c r="H64" s="166"/>
      <c r="I64" s="169"/>
      <c r="J64" s="144"/>
      <c r="K64" s="147"/>
      <c r="L64" s="150"/>
      <c r="M64" s="96"/>
      <c r="N64" s="74"/>
    </row>
    <row r="65" spans="1:14" ht="14.1" customHeight="1" x14ac:dyDescent="0.25">
      <c r="A65" s="156"/>
      <c r="B65" s="174"/>
      <c r="C65" s="174"/>
      <c r="D65" s="166"/>
      <c r="E65" s="177"/>
      <c r="F65" s="177"/>
      <c r="G65" s="164"/>
      <c r="H65" s="166"/>
      <c r="I65" s="169"/>
      <c r="J65" s="144"/>
      <c r="K65" s="147"/>
      <c r="L65" s="150"/>
      <c r="M65" s="96"/>
      <c r="N65" s="74"/>
    </row>
    <row r="66" spans="1:14" ht="14.1" customHeight="1" x14ac:dyDescent="0.25">
      <c r="A66" s="157"/>
      <c r="B66" s="175"/>
      <c r="C66" s="175"/>
      <c r="D66" s="167"/>
      <c r="E66" s="177"/>
      <c r="F66" s="177"/>
      <c r="G66" s="164"/>
      <c r="H66" s="167"/>
      <c r="I66" s="169"/>
      <c r="J66" s="145"/>
      <c r="K66" s="148"/>
      <c r="L66" s="151"/>
      <c r="M66" s="96"/>
      <c r="N66" s="74"/>
    </row>
    <row r="67" spans="1:14" ht="75.75" customHeight="1" x14ac:dyDescent="0.25">
      <c r="A67" s="155" t="s">
        <v>129</v>
      </c>
      <c r="B67" s="173" t="s">
        <v>182</v>
      </c>
      <c r="C67" s="173" t="s">
        <v>192</v>
      </c>
      <c r="D67" s="165" t="s">
        <v>16</v>
      </c>
      <c r="E67" s="176" t="s">
        <v>207</v>
      </c>
      <c r="F67" s="176" t="s">
        <v>214</v>
      </c>
      <c r="G67" s="163" t="s">
        <v>13</v>
      </c>
      <c r="H67" s="165" t="s">
        <v>5</v>
      </c>
      <c r="I67" s="168">
        <f>IFERROR(VLOOKUP(H67,Naturaleza,2,FALSE)*VLOOKUP('Matriz Riesgo y Op'!D67,Probabilidad,2,FALSE)*VLOOKUP('Matriz Riesgo y Op'!G67,Impacto,2,FALSE),"")</f>
        <v>10</v>
      </c>
      <c r="J67" s="143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Limitada</v>
      </c>
      <c r="K67" s="146" t="str">
        <f>IFERROR(VLOOKUP(J67,'Parámetros de riesgo'!$B$27:$C$31,2,FALSE),IFERROR(VLOOKUP(J67,'Parámetros de riesgo'!$H$27:$I$30,2,FALSE),""))</f>
        <v>A CONSIDERAR</v>
      </c>
      <c r="L67" s="149" t="str">
        <f>IFERROR(VLOOKUP(K67,'Parámetros de riesgo'!$C$27:$D$31,2,FALSE),IFERROR(VLOOKUP(K67,'Parámetros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67" s="106" t="s">
        <v>159</v>
      </c>
      <c r="N67" s="103" t="s">
        <v>233</v>
      </c>
    </row>
    <row r="68" spans="1:14" ht="14.1" customHeight="1" x14ac:dyDescent="0.25">
      <c r="A68" s="156"/>
      <c r="B68" s="174"/>
      <c r="C68" s="174"/>
      <c r="D68" s="166"/>
      <c r="E68" s="177"/>
      <c r="F68" s="177"/>
      <c r="G68" s="164"/>
      <c r="H68" s="166"/>
      <c r="I68" s="169"/>
      <c r="J68" s="144"/>
      <c r="K68" s="147"/>
      <c r="L68" s="150"/>
      <c r="M68" s="96"/>
      <c r="N68" s="74"/>
    </row>
    <row r="69" spans="1:14" ht="14.1" customHeight="1" x14ac:dyDescent="0.25">
      <c r="A69" s="156"/>
      <c r="B69" s="174"/>
      <c r="C69" s="174"/>
      <c r="D69" s="166"/>
      <c r="E69" s="177"/>
      <c r="F69" s="177"/>
      <c r="G69" s="164"/>
      <c r="H69" s="166"/>
      <c r="I69" s="169"/>
      <c r="J69" s="144"/>
      <c r="K69" s="147"/>
      <c r="L69" s="150"/>
      <c r="M69" s="96"/>
      <c r="N69" s="74"/>
    </row>
    <row r="70" spans="1:14" ht="14.1" customHeight="1" x14ac:dyDescent="0.25">
      <c r="A70" s="156"/>
      <c r="B70" s="174"/>
      <c r="C70" s="174"/>
      <c r="D70" s="166"/>
      <c r="E70" s="177"/>
      <c r="F70" s="177"/>
      <c r="G70" s="164"/>
      <c r="H70" s="166"/>
      <c r="I70" s="169"/>
      <c r="J70" s="144"/>
      <c r="K70" s="147"/>
      <c r="L70" s="150"/>
      <c r="M70" s="96"/>
      <c r="N70" s="74"/>
    </row>
    <row r="71" spans="1:14" ht="14.1" customHeight="1" x14ac:dyDescent="0.25">
      <c r="A71" s="157"/>
      <c r="B71" s="175"/>
      <c r="C71" s="175"/>
      <c r="D71" s="167"/>
      <c r="E71" s="177"/>
      <c r="F71" s="177"/>
      <c r="G71" s="164"/>
      <c r="H71" s="167"/>
      <c r="I71" s="169"/>
      <c r="J71" s="145"/>
      <c r="K71" s="148"/>
      <c r="L71" s="151"/>
      <c r="M71" s="96"/>
      <c r="N71" s="74"/>
    </row>
    <row r="72" spans="1:14" ht="71.25" x14ac:dyDescent="0.25">
      <c r="A72" s="155" t="s">
        <v>129</v>
      </c>
      <c r="B72" s="173" t="s">
        <v>183</v>
      </c>
      <c r="C72" s="173" t="s">
        <v>158</v>
      </c>
      <c r="D72" s="165" t="s">
        <v>15</v>
      </c>
      <c r="E72" s="176" t="s">
        <v>208</v>
      </c>
      <c r="F72" s="176" t="s">
        <v>215</v>
      </c>
      <c r="G72" s="163" t="s">
        <v>4</v>
      </c>
      <c r="H72" s="165" t="s">
        <v>5</v>
      </c>
      <c r="I72" s="168">
        <f>IFERROR(VLOOKUP(H72,Naturaleza,2,FALSE)*VLOOKUP('Matriz Riesgo y Op'!D72,Probabilidad,2,FALSE)*VLOOKUP('Matriz Riesgo y Op'!G72,Impacto,2,FALSE),"")</f>
        <v>490</v>
      </c>
      <c r="J72" s="143" t="str">
        <f t="shared" ref="J72" si="12">IF(A72="Riesgo",IF(I72="","",IF(AND(I72&gt;0,I72&lt;200),"Trivial",IF(OR(I72=200,AND(I72&gt;200,I72&lt;400)),"Tolerable",IF(OR(I72=400,AND(I72&gt;400,I72&lt;600)),"Moderado",IF(OR(I72=600,AND(I72&gt;600,I72&lt;800)),"Importante",IF(OR(I72=800,I72&gt;800,I72&lt;1000,I72=1000),"Intolerable","")))))),IF(A72="Oportunidad",IF(I72="","",IF(AND(I72&gt;0,I72&lt;250),"Limitada",IF(OR(I72=250,AND(I72&gt;250,I72&lt;500)),"Media",IF(OR(I72=500,AND(I72&gt;500,I72&lt;750)),"Potencial",IF(OR(I72=750,AND(I72&gt;750,I72&lt;=1000)),"Sobresaliente",""))))),""))</f>
        <v>Media</v>
      </c>
      <c r="K72" s="146" t="str">
        <f>IFERROR(VLOOKUP(J72,'Parámetros de riesgo'!$B$27:$C$31,2,FALSE),IFERROR(VLOOKUP(J72,'Parámetros de riesgo'!$H$27:$I$30,2,FALSE),""))</f>
        <v>ABORDAR</v>
      </c>
      <c r="L72" s="149" t="str">
        <f>IFERROR(VLOOKUP(K72,'Parámetros de riesgo'!$C$27:$D$31,2,FALSE),IFERROR(VLOOKUP(K72,'Parámetros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72" s="106" t="s">
        <v>235</v>
      </c>
      <c r="N72" s="103" t="s">
        <v>233</v>
      </c>
    </row>
    <row r="73" spans="1:14" x14ac:dyDescent="0.25">
      <c r="A73" s="156"/>
      <c r="B73" s="174"/>
      <c r="C73" s="174"/>
      <c r="D73" s="166"/>
      <c r="E73" s="177"/>
      <c r="F73" s="177"/>
      <c r="G73" s="164"/>
      <c r="H73" s="166"/>
      <c r="I73" s="169"/>
      <c r="J73" s="144"/>
      <c r="K73" s="147"/>
      <c r="L73" s="150"/>
      <c r="M73" s="96"/>
      <c r="N73" s="74"/>
    </row>
    <row r="74" spans="1:14" x14ac:dyDescent="0.25">
      <c r="A74" s="156"/>
      <c r="B74" s="174"/>
      <c r="C74" s="174"/>
      <c r="D74" s="166"/>
      <c r="E74" s="177"/>
      <c r="F74" s="177"/>
      <c r="G74" s="164"/>
      <c r="H74" s="166"/>
      <c r="I74" s="169"/>
      <c r="J74" s="144"/>
      <c r="K74" s="147"/>
      <c r="L74" s="150"/>
      <c r="M74" s="96"/>
      <c r="N74" s="74"/>
    </row>
    <row r="75" spans="1:14" x14ac:dyDescent="0.25">
      <c r="A75" s="156"/>
      <c r="B75" s="174"/>
      <c r="C75" s="174"/>
      <c r="D75" s="166"/>
      <c r="E75" s="177"/>
      <c r="F75" s="177"/>
      <c r="G75" s="164"/>
      <c r="H75" s="166"/>
      <c r="I75" s="169"/>
      <c r="J75" s="144"/>
      <c r="K75" s="147"/>
      <c r="L75" s="150"/>
      <c r="M75" s="96"/>
      <c r="N75" s="74"/>
    </row>
    <row r="76" spans="1:14" x14ac:dyDescent="0.25">
      <c r="A76" s="157"/>
      <c r="B76" s="175"/>
      <c r="C76" s="175"/>
      <c r="D76" s="167"/>
      <c r="E76" s="177"/>
      <c r="F76" s="177"/>
      <c r="G76" s="164"/>
      <c r="H76" s="167"/>
      <c r="I76" s="169"/>
      <c r="J76" s="145"/>
      <c r="K76" s="148"/>
      <c r="L76" s="151"/>
      <c r="M76" s="96"/>
      <c r="N76" s="74"/>
    </row>
    <row r="77" spans="1:14" ht="71.25" x14ac:dyDescent="0.25">
      <c r="A77" s="155" t="s">
        <v>129</v>
      </c>
      <c r="B77" s="152" t="s">
        <v>149</v>
      </c>
      <c r="C77" s="152" t="s">
        <v>193</v>
      </c>
      <c r="D77" s="158" t="s">
        <v>15</v>
      </c>
      <c r="E77" s="161" t="s">
        <v>219</v>
      </c>
      <c r="F77" s="161" t="s">
        <v>216</v>
      </c>
      <c r="G77" s="163" t="s">
        <v>63</v>
      </c>
      <c r="H77" s="165" t="s">
        <v>5</v>
      </c>
      <c r="I77" s="168">
        <f>IFERROR(VLOOKUP(H77,Naturaleza,2,FALSE)*VLOOKUP('Matriz Riesgo y Op'!D77,Probabilidad,2,FALSE)*VLOOKUP('Matriz Riesgo y Op'!G77,Impacto,2,FALSE),"")</f>
        <v>700</v>
      </c>
      <c r="J77" s="143" t="str">
        <f t="shared" ref="J77" si="13">IF(A77="Riesgo",IF(I77="","",IF(AND(I77&gt;0,I77&lt;200),"Trivial",IF(OR(I77=200,AND(I77&gt;200,I77&lt;400)),"Tolerable",IF(OR(I77=400,AND(I77&gt;400,I77&lt;600)),"Moderado",IF(OR(I77=600,AND(I77&gt;600,I77&lt;800)),"Importante",IF(OR(I77=800,I77&gt;800,I77&lt;1000,I77=1000),"Intolerable","")))))),IF(A77="Oportunidad",IF(I77="","",IF(AND(I77&gt;0,I77&lt;250),"Limitada",IF(OR(I77=250,AND(I77&gt;250,I77&lt;500)),"Media",IF(OR(I77=500,AND(I77&gt;500,I77&lt;750)),"Potencial",IF(OR(I77=750,AND(I77&gt;750,I77&lt;=1000)),"Sobresaliente",""))))),""))</f>
        <v>Potencial</v>
      </c>
      <c r="K77" s="146" t="str">
        <f>IFERROR(VLOOKUP(J77,'Parámetros de riesgo'!$B$27:$C$31,2,FALSE),IFERROR(VLOOKUP(J77,'Parámetros de riesgo'!$H$27:$I$30,2,FALSE),""))</f>
        <v>APROPIARSE</v>
      </c>
      <c r="L77" s="149" t="str">
        <f>IFERROR(VLOOKUP(K77,'Parámetros de riesgo'!$C$27:$D$31,2,FALSE),IFERROR(VLOOKUP(K77,'Parámetros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77" s="106" t="s">
        <v>161</v>
      </c>
      <c r="N77" s="103" t="s">
        <v>233</v>
      </c>
    </row>
    <row r="78" spans="1:14" ht="71.25" x14ac:dyDescent="0.25">
      <c r="A78" s="156"/>
      <c r="B78" s="153"/>
      <c r="C78" s="153"/>
      <c r="D78" s="159"/>
      <c r="E78" s="162"/>
      <c r="F78" s="162"/>
      <c r="G78" s="164"/>
      <c r="H78" s="166"/>
      <c r="I78" s="169"/>
      <c r="J78" s="144"/>
      <c r="K78" s="147"/>
      <c r="L78" s="150"/>
      <c r="M78" s="106" t="s">
        <v>247</v>
      </c>
      <c r="N78" s="103" t="s">
        <v>233</v>
      </c>
    </row>
    <row r="79" spans="1:14" x14ac:dyDescent="0.25">
      <c r="A79" s="156"/>
      <c r="B79" s="153"/>
      <c r="C79" s="153"/>
      <c r="D79" s="159"/>
      <c r="E79" s="162"/>
      <c r="F79" s="162"/>
      <c r="G79" s="164"/>
      <c r="H79" s="166"/>
      <c r="I79" s="169"/>
      <c r="J79" s="144"/>
      <c r="K79" s="147"/>
      <c r="L79" s="150"/>
      <c r="M79" s="96"/>
      <c r="N79" s="74"/>
    </row>
    <row r="80" spans="1:14" x14ac:dyDescent="0.25">
      <c r="A80" s="156"/>
      <c r="B80" s="153"/>
      <c r="C80" s="153"/>
      <c r="D80" s="159"/>
      <c r="E80" s="162"/>
      <c r="F80" s="162"/>
      <c r="G80" s="164"/>
      <c r="H80" s="166"/>
      <c r="I80" s="169"/>
      <c r="J80" s="144"/>
      <c r="K80" s="147"/>
      <c r="L80" s="150"/>
      <c r="M80" s="96"/>
      <c r="N80" s="74"/>
    </row>
    <row r="81" spans="1:14" x14ac:dyDescent="0.25">
      <c r="A81" s="157"/>
      <c r="B81" s="154"/>
      <c r="C81" s="154"/>
      <c r="D81" s="160"/>
      <c r="E81" s="162"/>
      <c r="F81" s="162"/>
      <c r="G81" s="164"/>
      <c r="H81" s="167"/>
      <c r="I81" s="169"/>
      <c r="J81" s="145"/>
      <c r="K81" s="148"/>
      <c r="L81" s="151"/>
      <c r="M81" s="96"/>
      <c r="N81" s="74"/>
    </row>
    <row r="82" spans="1:14" ht="71.25" x14ac:dyDescent="0.25">
      <c r="A82" s="155" t="s">
        <v>129</v>
      </c>
      <c r="B82" s="173" t="s">
        <v>150</v>
      </c>
      <c r="C82" s="173" t="s">
        <v>194</v>
      </c>
      <c r="D82" s="165" t="s">
        <v>15</v>
      </c>
      <c r="E82" s="176" t="s">
        <v>209</v>
      </c>
      <c r="F82" s="176" t="s">
        <v>217</v>
      </c>
      <c r="G82" s="163" t="s">
        <v>4</v>
      </c>
      <c r="H82" s="165" t="s">
        <v>5</v>
      </c>
      <c r="I82" s="168">
        <f>IFERROR(VLOOKUP(H82,Naturaleza,2,FALSE)*VLOOKUP('Matriz Riesgo y Op'!D82,Probabilidad,2,FALSE)*VLOOKUP('Matriz Riesgo y Op'!G82,Impacto,2,FALSE),"")</f>
        <v>490</v>
      </c>
      <c r="J82" s="143" t="str">
        <f t="shared" ref="J82" si="14">IF(A82="Riesgo",IF(I82="","",IF(AND(I82&gt;0,I82&lt;200),"Trivial",IF(OR(I82=200,AND(I82&gt;200,I82&lt;400)),"Tolerable",IF(OR(I82=400,AND(I82&gt;400,I82&lt;600)),"Moderado",IF(OR(I82=600,AND(I82&gt;600,I82&lt;800)),"Importante",IF(OR(I82=800,I82&gt;800,I82&lt;1000,I82=1000),"Intolerable","")))))),IF(A82="Oportunidad",IF(I82="","",IF(AND(I82&gt;0,I82&lt;250),"Limitada",IF(OR(I82=250,AND(I82&gt;250,I82&lt;500)),"Media",IF(OR(I82=500,AND(I82&gt;500,I82&lt;750)),"Potencial",IF(OR(I82=750,AND(I82&gt;750,I82&lt;=1000)),"Sobresaliente",""))))),""))</f>
        <v>Media</v>
      </c>
      <c r="K82" s="146" t="str">
        <f>IFERROR(VLOOKUP(J82,'Parámetros de riesgo'!$B$27:$C$31,2,FALSE),IFERROR(VLOOKUP(J82,'Parámetros de riesgo'!$H$27:$I$30,2,FALSE),""))</f>
        <v>ABORDAR</v>
      </c>
      <c r="L82" s="149" t="str">
        <f>IFERROR(VLOOKUP(K82,'Parámetros de riesgo'!$C$27:$D$31,2,FALSE),IFERROR(VLOOKUP(K82,'Parámetros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82" s="106" t="s">
        <v>236</v>
      </c>
      <c r="N82" s="103" t="s">
        <v>233</v>
      </c>
    </row>
    <row r="83" spans="1:14" x14ac:dyDescent="0.25">
      <c r="A83" s="156"/>
      <c r="B83" s="174"/>
      <c r="C83" s="174"/>
      <c r="D83" s="166"/>
      <c r="E83" s="177"/>
      <c r="F83" s="177"/>
      <c r="G83" s="164"/>
      <c r="H83" s="166"/>
      <c r="I83" s="169"/>
      <c r="J83" s="144"/>
      <c r="K83" s="147"/>
      <c r="L83" s="150"/>
      <c r="M83" s="96"/>
      <c r="N83" s="74"/>
    </row>
    <row r="84" spans="1:14" x14ac:dyDescent="0.25">
      <c r="A84" s="156"/>
      <c r="B84" s="174"/>
      <c r="C84" s="174"/>
      <c r="D84" s="166"/>
      <c r="E84" s="177"/>
      <c r="F84" s="177"/>
      <c r="G84" s="164"/>
      <c r="H84" s="166"/>
      <c r="I84" s="169"/>
      <c r="J84" s="144"/>
      <c r="K84" s="147"/>
      <c r="L84" s="150"/>
      <c r="M84" s="96"/>
      <c r="N84" s="74"/>
    </row>
    <row r="85" spans="1:14" x14ac:dyDescent="0.25">
      <c r="A85" s="156"/>
      <c r="B85" s="174"/>
      <c r="C85" s="174"/>
      <c r="D85" s="166"/>
      <c r="E85" s="177"/>
      <c r="F85" s="177"/>
      <c r="G85" s="164"/>
      <c r="H85" s="166"/>
      <c r="I85" s="169"/>
      <c r="J85" s="144"/>
      <c r="K85" s="147"/>
      <c r="L85" s="150"/>
      <c r="M85" s="96"/>
      <c r="N85" s="74"/>
    </row>
    <row r="86" spans="1:14" x14ac:dyDescent="0.25">
      <c r="A86" s="157"/>
      <c r="B86" s="175"/>
      <c r="C86" s="175"/>
      <c r="D86" s="167"/>
      <c r="E86" s="177"/>
      <c r="F86" s="177"/>
      <c r="G86" s="164"/>
      <c r="H86" s="167"/>
      <c r="I86" s="169"/>
      <c r="J86" s="145"/>
      <c r="K86" s="148"/>
      <c r="L86" s="151"/>
      <c r="M86" s="96"/>
      <c r="N86" s="74"/>
    </row>
    <row r="87" spans="1:14" ht="75" customHeight="1" x14ac:dyDescent="0.25">
      <c r="A87" s="155" t="s">
        <v>129</v>
      </c>
      <c r="B87" s="173" t="s">
        <v>186</v>
      </c>
      <c r="C87" s="173" t="s">
        <v>195</v>
      </c>
      <c r="D87" s="165" t="s">
        <v>15</v>
      </c>
      <c r="E87" s="176" t="s">
        <v>220</v>
      </c>
      <c r="F87" s="176" t="s">
        <v>218</v>
      </c>
      <c r="G87" s="163" t="s">
        <v>4</v>
      </c>
      <c r="H87" s="165" t="s">
        <v>5</v>
      </c>
      <c r="I87" s="168">
        <f>IFERROR(VLOOKUP(H87,Naturaleza,2,FALSE)*VLOOKUP('Matriz Riesgo y Op'!D87,Probabilidad,2,FALSE)*VLOOKUP('Matriz Riesgo y Op'!G87,Impacto,2,FALSE),"")</f>
        <v>490</v>
      </c>
      <c r="J87" s="143" t="str">
        <f t="shared" ref="J87" si="15">IF(A87="Riesgo",IF(I87="","",IF(AND(I87&gt;0,I87&lt;200),"Trivial",IF(OR(I87=200,AND(I87&gt;200,I87&lt;400)),"Tolerable",IF(OR(I87=400,AND(I87&gt;400,I87&lt;600)),"Moderado",IF(OR(I87=600,AND(I87&gt;600,I87&lt;800)),"Importante",IF(OR(I87=800,I87&gt;800,I87&lt;1000,I87=1000),"Intolerable","")))))),IF(A87="Oportunidad",IF(I87="","",IF(AND(I87&gt;0,I87&lt;250),"Limitada",IF(OR(I87=250,AND(I87&gt;250,I87&lt;500)),"Media",IF(OR(I87=500,AND(I87&gt;500,I87&lt;750)),"Potencial",IF(OR(I87=750,AND(I87&gt;750,I87&lt;=1000)),"Sobresaliente",""))))),""))</f>
        <v>Media</v>
      </c>
      <c r="K87" s="146" t="str">
        <f>IFERROR(VLOOKUP(J87,'Parámetros de riesgo'!$B$27:$C$31,2,FALSE),IFERROR(VLOOKUP(J87,'Parámetros de riesgo'!$H$27:$I$30,2,FALSE),""))</f>
        <v>ABORDAR</v>
      </c>
      <c r="L87" s="149" t="str">
        <f>IFERROR(VLOOKUP(K87,'Parámetros de riesgo'!$C$27:$D$31,2,FALSE),IFERROR(VLOOKUP(K87,'Parámetros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87" s="106" t="s">
        <v>237</v>
      </c>
      <c r="N87" s="103" t="s">
        <v>233</v>
      </c>
    </row>
    <row r="88" spans="1:14" x14ac:dyDescent="0.25">
      <c r="A88" s="156"/>
      <c r="B88" s="174"/>
      <c r="C88" s="174"/>
      <c r="D88" s="166"/>
      <c r="E88" s="177"/>
      <c r="F88" s="177"/>
      <c r="G88" s="164"/>
      <c r="H88" s="166"/>
      <c r="I88" s="169"/>
      <c r="J88" s="144"/>
      <c r="K88" s="147"/>
      <c r="L88" s="150"/>
      <c r="M88" s="96"/>
      <c r="N88" s="74"/>
    </row>
    <row r="89" spans="1:14" x14ac:dyDescent="0.25">
      <c r="A89" s="156"/>
      <c r="B89" s="174"/>
      <c r="C89" s="174"/>
      <c r="D89" s="166"/>
      <c r="E89" s="177"/>
      <c r="F89" s="177"/>
      <c r="G89" s="164"/>
      <c r="H89" s="166"/>
      <c r="I89" s="169"/>
      <c r="J89" s="144"/>
      <c r="K89" s="147"/>
      <c r="L89" s="150"/>
      <c r="M89" s="96"/>
      <c r="N89" s="74"/>
    </row>
    <row r="90" spans="1:14" x14ac:dyDescent="0.25">
      <c r="A90" s="156"/>
      <c r="B90" s="174"/>
      <c r="C90" s="174"/>
      <c r="D90" s="166"/>
      <c r="E90" s="177"/>
      <c r="F90" s="177"/>
      <c r="G90" s="164"/>
      <c r="H90" s="166"/>
      <c r="I90" s="169"/>
      <c r="J90" s="144"/>
      <c r="K90" s="147"/>
      <c r="L90" s="150"/>
      <c r="M90" s="96"/>
      <c r="N90" s="74"/>
    </row>
    <row r="91" spans="1:14" x14ac:dyDescent="0.25">
      <c r="A91" s="157"/>
      <c r="B91" s="175"/>
      <c r="C91" s="175"/>
      <c r="D91" s="167"/>
      <c r="E91" s="177"/>
      <c r="F91" s="177"/>
      <c r="G91" s="164"/>
      <c r="H91" s="167"/>
      <c r="I91" s="169"/>
      <c r="J91" s="145"/>
      <c r="K91" s="148"/>
      <c r="L91" s="151"/>
      <c r="M91" s="96"/>
      <c r="N91" s="74"/>
    </row>
    <row r="92" spans="1:14" ht="71.25" x14ac:dyDescent="0.25">
      <c r="A92" s="155" t="s">
        <v>129</v>
      </c>
      <c r="B92" s="170" t="s">
        <v>184</v>
      </c>
      <c r="C92" s="173" t="s">
        <v>160</v>
      </c>
      <c r="D92" s="165" t="s">
        <v>15</v>
      </c>
      <c r="E92" s="176" t="s">
        <v>210</v>
      </c>
      <c r="F92" s="176" t="s">
        <v>221</v>
      </c>
      <c r="G92" s="163" t="s">
        <v>4</v>
      </c>
      <c r="H92" s="165" t="s">
        <v>5</v>
      </c>
      <c r="I92" s="168">
        <f>IFERROR(VLOOKUP(H92,Naturaleza,2,FALSE)*VLOOKUP('Matriz Riesgo y Op'!D92,Probabilidad,2,FALSE)*VLOOKUP('Matriz Riesgo y Op'!G92,Impacto,2,FALSE),"")</f>
        <v>490</v>
      </c>
      <c r="J92" s="143" t="str">
        <f t="shared" ref="J92" si="16">IF(A92="Riesgo",IF(I92="","",IF(AND(I92&gt;0,I92&lt;200),"Trivial",IF(OR(I92=200,AND(I92&gt;200,I92&lt;400)),"Tolerable",IF(OR(I92=400,AND(I92&gt;400,I92&lt;600)),"Moderado",IF(OR(I92=600,AND(I92&gt;600,I92&lt;800)),"Importante",IF(OR(I92=800,I92&gt;800,I92&lt;1000,I92=1000),"Intolerable","")))))),IF(A92="Oportunidad",IF(I92="","",IF(AND(I92&gt;0,I92&lt;250),"Limitada",IF(OR(I92=250,AND(I92&gt;250,I92&lt;500)),"Media",IF(OR(I92=500,AND(I92&gt;500,I92&lt;750)),"Potencial",IF(OR(I92=750,AND(I92&gt;750,I92&lt;=1000)),"Sobresaliente",""))))),""))</f>
        <v>Media</v>
      </c>
      <c r="K92" s="146" t="str">
        <f>IFERROR(VLOOKUP(J92,'Parámetros de riesgo'!$B$27:$C$31,2,FALSE),IFERROR(VLOOKUP(J92,'Parámetros de riesgo'!$H$27:$I$30,2,FALSE),""))</f>
        <v>ABORDAR</v>
      </c>
      <c r="L92" s="149" t="str">
        <f>IFERROR(VLOOKUP(K92,'Parámetros de riesgo'!$C$27:$D$31,2,FALSE),IFERROR(VLOOKUP(K92,'Parámetros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92" s="106" t="s">
        <v>246</v>
      </c>
      <c r="N92" s="103" t="s">
        <v>233</v>
      </c>
    </row>
    <row r="93" spans="1:14" x14ac:dyDescent="0.25">
      <c r="A93" s="156"/>
      <c r="B93" s="171"/>
      <c r="C93" s="174"/>
      <c r="D93" s="166"/>
      <c r="E93" s="177"/>
      <c r="F93" s="177"/>
      <c r="G93" s="164"/>
      <c r="H93" s="166"/>
      <c r="I93" s="169"/>
      <c r="J93" s="144"/>
      <c r="K93" s="147"/>
      <c r="L93" s="150"/>
      <c r="M93" s="96"/>
      <c r="N93" s="74"/>
    </row>
    <row r="94" spans="1:14" x14ac:dyDescent="0.25">
      <c r="A94" s="156"/>
      <c r="B94" s="171"/>
      <c r="C94" s="174"/>
      <c r="D94" s="166"/>
      <c r="E94" s="177"/>
      <c r="F94" s="177"/>
      <c r="G94" s="164"/>
      <c r="H94" s="166"/>
      <c r="I94" s="169"/>
      <c r="J94" s="144"/>
      <c r="K94" s="147"/>
      <c r="L94" s="150"/>
      <c r="M94" s="96"/>
      <c r="N94" s="74"/>
    </row>
    <row r="95" spans="1:14" x14ac:dyDescent="0.25">
      <c r="A95" s="156"/>
      <c r="B95" s="171"/>
      <c r="C95" s="174"/>
      <c r="D95" s="166"/>
      <c r="E95" s="177"/>
      <c r="F95" s="177"/>
      <c r="G95" s="164"/>
      <c r="H95" s="166"/>
      <c r="I95" s="169"/>
      <c r="J95" s="144"/>
      <c r="K95" s="147"/>
      <c r="L95" s="150"/>
      <c r="M95" s="96"/>
      <c r="N95" s="74"/>
    </row>
    <row r="96" spans="1:14" x14ac:dyDescent="0.25">
      <c r="A96" s="157"/>
      <c r="B96" s="172"/>
      <c r="C96" s="175"/>
      <c r="D96" s="167"/>
      <c r="E96" s="177"/>
      <c r="F96" s="177"/>
      <c r="G96" s="164"/>
      <c r="H96" s="167"/>
      <c r="I96" s="169"/>
      <c r="J96" s="145"/>
      <c r="K96" s="148"/>
      <c r="L96" s="151"/>
      <c r="M96" s="96"/>
      <c r="N96" s="74"/>
    </row>
    <row r="97" spans="1:14" ht="71.25" x14ac:dyDescent="0.25">
      <c r="A97" s="155" t="s">
        <v>129</v>
      </c>
      <c r="B97" s="152" t="s">
        <v>185</v>
      </c>
      <c r="C97" s="152" t="s">
        <v>163</v>
      </c>
      <c r="D97" s="158" t="s">
        <v>12</v>
      </c>
      <c r="E97" s="161" t="s">
        <v>211</v>
      </c>
      <c r="F97" s="161" t="s">
        <v>222</v>
      </c>
      <c r="G97" s="163" t="s">
        <v>63</v>
      </c>
      <c r="H97" s="165" t="s">
        <v>5</v>
      </c>
      <c r="I97" s="168">
        <f>IFERROR(VLOOKUP(H97,Naturaleza,2,FALSE)*VLOOKUP('Matriz Riesgo y Op'!D97,Probabilidad,2,FALSE)*VLOOKUP('Matriz Riesgo y Op'!G97,Impacto,2,FALSE),"")</f>
        <v>1000</v>
      </c>
      <c r="J97" s="143" t="str">
        <f t="shared" ref="J97" si="17">IF(A97="Riesgo",IF(I97="","",IF(AND(I97&gt;0,I97&lt;200),"Trivial",IF(OR(I97=200,AND(I97&gt;200,I97&lt;400)),"Tolerable",IF(OR(I97=400,AND(I97&gt;400,I97&lt;600)),"Moderado",IF(OR(I97=600,AND(I97&gt;600,I97&lt;800)),"Importante",IF(OR(I97=800,I97&gt;800,I97&lt;1000,I97=1000),"Intolerable","")))))),IF(A97="Oportunidad",IF(I97="","",IF(AND(I97&gt;0,I97&lt;250),"Limitada",IF(OR(I97=250,AND(I97&gt;250,I97&lt;500)),"Media",IF(OR(I97=500,AND(I97&gt;500,I97&lt;750)),"Potencial",IF(OR(I97=750,AND(I97&gt;750,I97&lt;=1000)),"Sobresaliente",""))))),""))</f>
        <v>Sobresaliente</v>
      </c>
      <c r="K97" s="146" t="str">
        <f>IFERROR(VLOOKUP(J97,'Parámetros de riesgo'!$B$27:$C$31,2,FALSE),IFERROR(VLOOKUP(J97,'Parámetros de riesgo'!$H$27:$I$30,2,FALSE),""))</f>
        <v>EXPLOTARLA</v>
      </c>
      <c r="L97" s="149" t="str">
        <f>IFERROR(VLOOKUP(K97,'Parámetros de riesgo'!$C$27:$D$31,2,FALSE),IFERROR(VLOOKUP(K97,'Parámetros de riesgo'!$I$27:$J$30,2,FALSE),""))</f>
        <v>Oportunidad con beneficios claros, generales y específicos en el proceso de varias o todas las áreas y/o Partes Interesadas de la cual se obtiene un resultado a corto, mediano y/o largo plazo. Documentar las acciones de respuesta en la Evaluación de Efectividad de riesgos y oportunidades.</v>
      </c>
      <c r="M97" s="106" t="s">
        <v>239</v>
      </c>
      <c r="N97" s="103" t="s">
        <v>233</v>
      </c>
    </row>
    <row r="98" spans="1:14" x14ac:dyDescent="0.25">
      <c r="A98" s="156"/>
      <c r="B98" s="153"/>
      <c r="C98" s="153"/>
      <c r="D98" s="159"/>
      <c r="E98" s="162"/>
      <c r="F98" s="162"/>
      <c r="G98" s="164"/>
      <c r="H98" s="166"/>
      <c r="I98" s="169"/>
      <c r="J98" s="144"/>
      <c r="K98" s="147"/>
      <c r="L98" s="150"/>
      <c r="M98" s="96"/>
      <c r="N98" s="74"/>
    </row>
    <row r="99" spans="1:14" x14ac:dyDescent="0.25">
      <c r="A99" s="156"/>
      <c r="B99" s="153"/>
      <c r="C99" s="153"/>
      <c r="D99" s="159"/>
      <c r="E99" s="162"/>
      <c r="F99" s="162"/>
      <c r="G99" s="164"/>
      <c r="H99" s="166"/>
      <c r="I99" s="169"/>
      <c r="J99" s="144"/>
      <c r="K99" s="147"/>
      <c r="L99" s="150"/>
      <c r="M99" s="96"/>
      <c r="N99" s="74"/>
    </row>
    <row r="100" spans="1:14" x14ac:dyDescent="0.25">
      <c r="A100" s="156"/>
      <c r="B100" s="153"/>
      <c r="C100" s="153"/>
      <c r="D100" s="159"/>
      <c r="E100" s="162"/>
      <c r="F100" s="162"/>
      <c r="G100" s="164"/>
      <c r="H100" s="166"/>
      <c r="I100" s="169"/>
      <c r="J100" s="144"/>
      <c r="K100" s="147"/>
      <c r="L100" s="150"/>
      <c r="M100" s="96"/>
      <c r="N100" s="74"/>
    </row>
    <row r="101" spans="1:14" x14ac:dyDescent="0.25">
      <c r="A101" s="157"/>
      <c r="B101" s="154"/>
      <c r="C101" s="154"/>
      <c r="D101" s="160"/>
      <c r="E101" s="162"/>
      <c r="F101" s="162"/>
      <c r="G101" s="164"/>
      <c r="H101" s="167"/>
      <c r="I101" s="169"/>
      <c r="J101" s="145"/>
      <c r="K101" s="148"/>
      <c r="L101" s="151"/>
      <c r="M101" s="96"/>
      <c r="N101" s="74"/>
    </row>
  </sheetData>
  <protectedRanges>
    <protectedRange sqref="L13:L14 L62:L63 L67:L68 L57:L58 L8:L9 L18:L19 L23:L24 L28:L29 L33:L34 L48:L49 L87:L88 L72:L73 L77:L78 L82:L83 L38:L39 L43:L44 L92:L93 L97:L98" name="Rango2"/>
    <protectedRange sqref="G8:G9 G13:G14 G18:G19 G23:G24 G28:G29 G33:G34 G48:G49 G38:G39 G43:G44" name="Rango1_1"/>
    <protectedRange sqref="G57:G58 G72:G73 G62:G63 G67:G68 G77:G78 G82:G83 G87:G88 G92:G93 G97:G98" name="Rango1_1_2"/>
    <protectedRange sqref="A8:A9 C33:F34 C8:F9 C13:F14 C18:F19 C23:F24 C28:F29 A13:A14 A18:A19 A23:A24 A28:A29 A33:A34 C48:F49 A48:A49 C38:F39 A38:A39 A43:A44 C43:F44" name="Rango1_1_3"/>
    <protectedRange sqref="B8:B9 B13:B14 B18:B19 B23:B24 B28:B29 B33:B34 B48:B49 B38:B39 B57:B58 B62:B63 B67:B68 B72:B73 B77:B78 B82:B83 B97:B98 B87:B88" name="Rango1_1_1_1"/>
    <protectedRange sqref="H33:H34 H8:H9 H13:H14 H18:H19 H23:H24 H28:H29 H48:H49 H38:H39 H43:H44" name="Rango1_1_6"/>
    <protectedRange sqref="A57:A58 C82:F83 C57:F58 C67:F68 C72:F73 C77:F78 A62:A63 A67:A68 A72:A73 A77:A78 A82:A83 C87:F88 A87:A88 C62:F63 A92:A93 A97:A98 C92:F93 C97:F98" name="Rango1_1_9"/>
    <protectedRange sqref="H82:H83 H57:H58 H67:H68 H72:H73 H77:H78 H87:H88 H62:H63 H92:H93 H97:H98" name="Rango1_1_10"/>
  </protectedRanges>
  <dataConsolidate/>
  <mergeCells count="228">
    <mergeCell ref="L87:L91"/>
    <mergeCell ref="K77:K81"/>
    <mergeCell ref="L77:L81"/>
    <mergeCell ref="G82:G86"/>
    <mergeCell ref="H82:H86"/>
    <mergeCell ref="I82:I86"/>
    <mergeCell ref="J82:J86"/>
    <mergeCell ref="K82:K86"/>
    <mergeCell ref="L82:L86"/>
    <mergeCell ref="G77:G81"/>
    <mergeCell ref="H77:H81"/>
    <mergeCell ref="I77:I81"/>
    <mergeCell ref="J77:J81"/>
    <mergeCell ref="G87:G91"/>
    <mergeCell ref="H87:H91"/>
    <mergeCell ref="I87:I91"/>
    <mergeCell ref="J87:J91"/>
    <mergeCell ref="K87:K91"/>
    <mergeCell ref="A87:A91"/>
    <mergeCell ref="B87:B91"/>
    <mergeCell ref="C87:C91"/>
    <mergeCell ref="D87:D91"/>
    <mergeCell ref="E87:E91"/>
    <mergeCell ref="F77:F81"/>
    <mergeCell ref="A82:A86"/>
    <mergeCell ref="B82:B86"/>
    <mergeCell ref="C82:C86"/>
    <mergeCell ref="D82:D86"/>
    <mergeCell ref="E82:E86"/>
    <mergeCell ref="F82:F86"/>
    <mergeCell ref="A77:A81"/>
    <mergeCell ref="B77:B81"/>
    <mergeCell ref="C77:C81"/>
    <mergeCell ref="D77:D81"/>
    <mergeCell ref="E77:E81"/>
    <mergeCell ref="F87:F91"/>
    <mergeCell ref="A48:A52"/>
    <mergeCell ref="J43:J47"/>
    <mergeCell ref="K43:K47"/>
    <mergeCell ref="L43:L47"/>
    <mergeCell ref="A38:A42"/>
    <mergeCell ref="B38:B42"/>
    <mergeCell ref="C38:C42"/>
    <mergeCell ref="D38:D42"/>
    <mergeCell ref="E38:E42"/>
    <mergeCell ref="B57:B61"/>
    <mergeCell ref="C57:C61"/>
    <mergeCell ref="H33:H37"/>
    <mergeCell ref="I33:I37"/>
    <mergeCell ref="J33:J37"/>
    <mergeCell ref="K33:K37"/>
    <mergeCell ref="L33:L37"/>
    <mergeCell ref="F48:F52"/>
    <mergeCell ref="G33:G37"/>
    <mergeCell ref="G48:G52"/>
    <mergeCell ref="B33:B37"/>
    <mergeCell ref="C33:C37"/>
    <mergeCell ref="D33:D37"/>
    <mergeCell ref="E33:E37"/>
    <mergeCell ref="J38:J42"/>
    <mergeCell ref="K38:K42"/>
    <mergeCell ref="F38:F42"/>
    <mergeCell ref="G38:G42"/>
    <mergeCell ref="D57:D61"/>
    <mergeCell ref="I55:K55"/>
    <mergeCell ref="L55:N55"/>
    <mergeCell ref="J57:J61"/>
    <mergeCell ref="K57:K61"/>
    <mergeCell ref="L38:L42"/>
    <mergeCell ref="K28:K32"/>
    <mergeCell ref="L28:L32"/>
    <mergeCell ref="A72:A76"/>
    <mergeCell ref="B72:B76"/>
    <mergeCell ref="C72:C76"/>
    <mergeCell ref="D72:D76"/>
    <mergeCell ref="E72:E76"/>
    <mergeCell ref="F72:F76"/>
    <mergeCell ref="K72:K76"/>
    <mergeCell ref="L72:L76"/>
    <mergeCell ref="H48:H52"/>
    <mergeCell ref="I48:I52"/>
    <mergeCell ref="J48:J52"/>
    <mergeCell ref="K48:K52"/>
    <mergeCell ref="L48:L52"/>
    <mergeCell ref="G72:G76"/>
    <mergeCell ref="H72:H76"/>
    <mergeCell ref="I72:I76"/>
    <mergeCell ref="J72:J76"/>
    <mergeCell ref="L57:L61"/>
    <mergeCell ref="E57:E61"/>
    <mergeCell ref="F57:F61"/>
    <mergeCell ref="A54:N54"/>
    <mergeCell ref="A57:A61"/>
    <mergeCell ref="G23:G27"/>
    <mergeCell ref="H18:H22"/>
    <mergeCell ref="I18:I22"/>
    <mergeCell ref="G28:G32"/>
    <mergeCell ref="H23:H27"/>
    <mergeCell ref="I23:I27"/>
    <mergeCell ref="H28:H32"/>
    <mergeCell ref="I28:I32"/>
    <mergeCell ref="J28:J32"/>
    <mergeCell ref="A28:A32"/>
    <mergeCell ref="B28:B32"/>
    <mergeCell ref="C28:C32"/>
    <mergeCell ref="D28:D32"/>
    <mergeCell ref="E28:E32"/>
    <mergeCell ref="J13:J17"/>
    <mergeCell ref="K13:K17"/>
    <mergeCell ref="L13:L17"/>
    <mergeCell ref="F13:F17"/>
    <mergeCell ref="F18:F22"/>
    <mergeCell ref="F23:F27"/>
    <mergeCell ref="G13:G17"/>
    <mergeCell ref="H13:H17"/>
    <mergeCell ref="I13:I17"/>
    <mergeCell ref="J18:J22"/>
    <mergeCell ref="K18:K22"/>
    <mergeCell ref="L18:L22"/>
    <mergeCell ref="J23:J27"/>
    <mergeCell ref="K23:K27"/>
    <mergeCell ref="L23:L27"/>
    <mergeCell ref="A23:A27"/>
    <mergeCell ref="B23:B27"/>
    <mergeCell ref="C23:C27"/>
    <mergeCell ref="G18:G22"/>
    <mergeCell ref="D23:D27"/>
    <mergeCell ref="E23:E27"/>
    <mergeCell ref="A55:H55"/>
    <mergeCell ref="G57:G61"/>
    <mergeCell ref="H57:H61"/>
    <mergeCell ref="I57:I61"/>
    <mergeCell ref="B43:B47"/>
    <mergeCell ref="A43:A47"/>
    <mergeCell ref="C43:C47"/>
    <mergeCell ref="D43:D47"/>
    <mergeCell ref="E43:E47"/>
    <mergeCell ref="F43:F47"/>
    <mergeCell ref="G43:G47"/>
    <mergeCell ref="H43:H47"/>
    <mergeCell ref="I43:I47"/>
    <mergeCell ref="B48:B52"/>
    <mergeCell ref="C48:C52"/>
    <mergeCell ref="D48:D52"/>
    <mergeCell ref="E48:E52"/>
    <mergeCell ref="F28:F32"/>
    <mergeCell ref="A33:A37"/>
    <mergeCell ref="H38:H42"/>
    <mergeCell ref="I38:I42"/>
    <mergeCell ref="F33:F37"/>
    <mergeCell ref="A13:A17"/>
    <mergeCell ref="B13:B17"/>
    <mergeCell ref="C13:C17"/>
    <mergeCell ref="D13:D17"/>
    <mergeCell ref="E13:E17"/>
    <mergeCell ref="A18:A22"/>
    <mergeCell ref="B18:B22"/>
    <mergeCell ref="C18:C22"/>
    <mergeCell ref="D18:D22"/>
    <mergeCell ref="E18:E22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F8:F12"/>
    <mergeCell ref="G8:G12"/>
    <mergeCell ref="H8:H12"/>
    <mergeCell ref="I8:I12"/>
    <mergeCell ref="J8:J12"/>
    <mergeCell ref="A67:A71"/>
    <mergeCell ref="B67:B71"/>
    <mergeCell ref="C67:C71"/>
    <mergeCell ref="A62:A66"/>
    <mergeCell ref="B62:B66"/>
    <mergeCell ref="C62:C66"/>
    <mergeCell ref="K67:K71"/>
    <mergeCell ref="L67:L71"/>
    <mergeCell ref="F67:F71"/>
    <mergeCell ref="G67:G71"/>
    <mergeCell ref="H67:H71"/>
    <mergeCell ref="I67:I71"/>
    <mergeCell ref="J67:J71"/>
    <mergeCell ref="D67:D71"/>
    <mergeCell ref="E67:E71"/>
    <mergeCell ref="J62:J66"/>
    <mergeCell ref="K62:K66"/>
    <mergeCell ref="D62:D66"/>
    <mergeCell ref="E62:E66"/>
    <mergeCell ref="F62:F66"/>
    <mergeCell ref="G62:G66"/>
    <mergeCell ref="H62:H66"/>
    <mergeCell ref="L62:L66"/>
    <mergeCell ref="I62:I66"/>
    <mergeCell ref="J92:J96"/>
    <mergeCell ref="K92:K96"/>
    <mergeCell ref="L92:L96"/>
    <mergeCell ref="B97:B101"/>
    <mergeCell ref="A97:A101"/>
    <mergeCell ref="C97:C101"/>
    <mergeCell ref="D97:D101"/>
    <mergeCell ref="E97:E101"/>
    <mergeCell ref="F97:F101"/>
    <mergeCell ref="G97:G101"/>
    <mergeCell ref="H97:H101"/>
    <mergeCell ref="I97:I101"/>
    <mergeCell ref="J97:J101"/>
    <mergeCell ref="K97:K101"/>
    <mergeCell ref="L97:L101"/>
    <mergeCell ref="B92:B96"/>
    <mergeCell ref="A92:A96"/>
    <mergeCell ref="C92:C96"/>
    <mergeCell ref="D92:D96"/>
    <mergeCell ref="E92:E96"/>
    <mergeCell ref="F92:F96"/>
    <mergeCell ref="G92:G96"/>
    <mergeCell ref="H92:H96"/>
    <mergeCell ref="I92:I96"/>
  </mergeCells>
  <conditionalFormatting sqref="J7 L7:N7 J102:J1048576">
    <cfRule type="cellIs" dxfId="133" priority="561" operator="equal">
      <formula>"Intolerable"</formula>
    </cfRule>
    <cfRule type="cellIs" dxfId="132" priority="562" operator="equal">
      <formula>"Importante"</formula>
    </cfRule>
    <cfRule type="cellIs" dxfId="131" priority="563" operator="equal">
      <formula>"Moderado"</formula>
    </cfRule>
    <cfRule type="cellIs" dxfId="130" priority="564" operator="equal">
      <formula>"Tolerable"</formula>
    </cfRule>
  </conditionalFormatting>
  <conditionalFormatting sqref="K7">
    <cfRule type="cellIs" dxfId="129" priority="557" operator="equal">
      <formula>"Intolerable"</formula>
    </cfRule>
    <cfRule type="cellIs" dxfId="128" priority="558" operator="equal">
      <formula>"Importante"</formula>
    </cfRule>
    <cfRule type="cellIs" dxfId="127" priority="559" operator="equal">
      <formula>"Moderado"</formula>
    </cfRule>
    <cfRule type="cellIs" dxfId="126" priority="560" operator="equal">
      <formula>"Tolerable"</formula>
    </cfRule>
  </conditionalFormatting>
  <conditionalFormatting sqref="I8 I13">
    <cfRule type="cellIs" dxfId="125" priority="521" operator="equal">
      <formula>0</formula>
    </cfRule>
  </conditionalFormatting>
  <conditionalFormatting sqref="L56:N56">
    <cfRule type="cellIs" dxfId="124" priority="470" operator="equal">
      <formula>"Intolerable"</formula>
    </cfRule>
    <cfRule type="cellIs" dxfId="123" priority="471" operator="equal">
      <formula>"Importante"</formula>
    </cfRule>
    <cfRule type="cellIs" dxfId="122" priority="472" operator="equal">
      <formula>"Moderado"</formula>
    </cfRule>
    <cfRule type="cellIs" dxfId="121" priority="473" operator="equal">
      <formula>"Tolerable"</formula>
    </cfRule>
  </conditionalFormatting>
  <conditionalFormatting sqref="K56">
    <cfRule type="cellIs" dxfId="120" priority="466" operator="equal">
      <formula>"Intolerable"</formula>
    </cfRule>
    <cfRule type="cellIs" dxfId="119" priority="467" operator="equal">
      <formula>"Importante"</formula>
    </cfRule>
    <cfRule type="cellIs" dxfId="118" priority="468" operator="equal">
      <formula>"Moderado"</formula>
    </cfRule>
    <cfRule type="cellIs" dxfId="117" priority="469" operator="equal">
      <formula>"Tolerable"</formula>
    </cfRule>
  </conditionalFormatting>
  <conditionalFormatting sqref="F56 H56:J56">
    <cfRule type="cellIs" dxfId="116" priority="436" operator="equal">
      <formula>"Intolerable"</formula>
    </cfRule>
    <cfRule type="cellIs" dxfId="115" priority="437" operator="equal">
      <formula>"Importante"</formula>
    </cfRule>
    <cfRule type="cellIs" dxfId="114" priority="438" operator="equal">
      <formula>"Moderado"</formula>
    </cfRule>
    <cfRule type="cellIs" dxfId="113" priority="439" operator="equal">
      <formula>"Tolerable"</formula>
    </cfRule>
  </conditionalFormatting>
  <conditionalFormatting sqref="G56">
    <cfRule type="cellIs" dxfId="112" priority="432" operator="equal">
      <formula>"Intolerable"</formula>
    </cfRule>
    <cfRule type="cellIs" dxfId="111" priority="433" operator="equal">
      <formula>"Importante"</formula>
    </cfRule>
    <cfRule type="cellIs" dxfId="110" priority="434" operator="equal">
      <formula>"Moderado"</formula>
    </cfRule>
    <cfRule type="cellIs" dxfId="109" priority="435" operator="equal">
      <formula>"Tolerable"</formula>
    </cfRule>
  </conditionalFormatting>
  <conditionalFormatting sqref="K8 K13">
    <cfRule type="cellIs" dxfId="108" priority="220" operator="equal">
      <formula>"Atención Inmediata"</formula>
    </cfRule>
    <cfRule type="cellIs" dxfId="107" priority="221" operator="equal">
      <formula>"Minimizarlo"</formula>
    </cfRule>
    <cfRule type="cellIs" dxfId="106" priority="222" operator="equal">
      <formula>"Controlarlo"</formula>
    </cfRule>
    <cfRule type="cellIs" dxfId="105" priority="223" operator="equal">
      <formula>"Asumirlo"</formula>
    </cfRule>
  </conditionalFormatting>
  <conditionalFormatting sqref="K8 K13">
    <cfRule type="cellIs" dxfId="104" priority="211" operator="equal">
      <formula>"A CONSIDERAR"</formula>
    </cfRule>
    <cfRule type="containsText" dxfId="103" priority="212" operator="containsText" text="Explotarla">
      <formula>NOT(ISERROR(SEARCH("Explotarla",K8)))</formula>
    </cfRule>
    <cfRule type="containsText" dxfId="102" priority="213" operator="containsText" text="Apropiarse">
      <formula>NOT(ISERROR(SEARCH("Apropiarse",K8)))</formula>
    </cfRule>
    <cfRule type="containsText" dxfId="101" priority="214" operator="containsText" text="ABORDAR">
      <formula>NOT(ISERROR(SEARCH("ABORDAR",K8)))</formula>
    </cfRule>
    <cfRule type="containsText" dxfId="100" priority="215" operator="containsText" text="ANALIZAR">
      <formula>NOT(ISERROR(SEARCH("ANALIZAR",K8)))</formula>
    </cfRule>
    <cfRule type="cellIs" dxfId="99" priority="216" operator="equal">
      <formula>"Atención Inmediata"</formula>
    </cfRule>
    <cfRule type="cellIs" dxfId="98" priority="217" operator="equal">
      <formula>"Minimizarlo"</formula>
    </cfRule>
    <cfRule type="cellIs" dxfId="97" priority="218" operator="equal">
      <formula>"Controlarlo"</formula>
    </cfRule>
    <cfRule type="cellIs" dxfId="96" priority="219" operator="equal">
      <formula>"Asumirlo"</formula>
    </cfRule>
  </conditionalFormatting>
  <conditionalFormatting sqref="J8 J13">
    <cfRule type="cellIs" dxfId="95" priority="207" operator="equal">
      <formula>"Intolerable"</formula>
    </cfRule>
    <cfRule type="cellIs" dxfId="94" priority="208" operator="equal">
      <formula>"Importante"</formula>
    </cfRule>
    <cfRule type="cellIs" dxfId="93" priority="209" operator="equal">
      <formula>"Moderado"</formula>
    </cfRule>
    <cfRule type="cellIs" dxfId="92" priority="210" operator="equal">
      <formula>"Tolerable"</formula>
    </cfRule>
  </conditionalFormatting>
  <conditionalFormatting sqref="J8 J13">
    <cfRule type="cellIs" dxfId="91" priority="199" operator="equal">
      <formula>"Limitada"</formula>
    </cfRule>
    <cfRule type="cellIs" dxfId="90" priority="200" operator="equal">
      <formula>"Media"</formula>
    </cfRule>
    <cfRule type="cellIs" dxfId="89" priority="201" operator="equal">
      <formula>"Potencial"</formula>
    </cfRule>
    <cfRule type="cellIs" dxfId="88" priority="202" operator="equal">
      <formula>"Tolerable"</formula>
    </cfRule>
    <cfRule type="cellIs" dxfId="87" priority="203" operator="equal">
      <formula>"Sobresaliente"</formula>
    </cfRule>
    <cfRule type="cellIs" dxfId="86" priority="204" operator="equal">
      <formula>"Moderado"</formula>
    </cfRule>
    <cfRule type="cellIs" dxfId="85" priority="205" operator="equal">
      <formula>"Importante"</formula>
    </cfRule>
    <cfRule type="cellIs" dxfId="84" priority="206" operator="equal">
      <formula>"Intolerable"</formula>
    </cfRule>
  </conditionalFormatting>
  <conditionalFormatting sqref="I57 I62 I67 I72 I77 I82 I87 I92 I97">
    <cfRule type="cellIs" dxfId="83" priority="198" operator="equal">
      <formula>0</formula>
    </cfRule>
  </conditionalFormatting>
  <conditionalFormatting sqref="K57 K62 K67 K72 K77 K82 K87 K92 K97">
    <cfRule type="cellIs" dxfId="82" priority="194" operator="equal">
      <formula>"Atención Inmediata"</formula>
    </cfRule>
    <cfRule type="cellIs" dxfId="81" priority="195" operator="equal">
      <formula>"Minimizarlo"</formula>
    </cfRule>
    <cfRule type="cellIs" dxfId="80" priority="196" operator="equal">
      <formula>"Controlarlo"</formula>
    </cfRule>
    <cfRule type="cellIs" dxfId="79" priority="197" operator="equal">
      <formula>"Asumirlo"</formula>
    </cfRule>
  </conditionalFormatting>
  <conditionalFormatting sqref="K57 K62 K67 K72 K77 K82 K87 K92 K97">
    <cfRule type="cellIs" dxfId="78" priority="185" operator="equal">
      <formula>"A CONSIDERAR"</formula>
    </cfRule>
    <cfRule type="containsText" dxfId="77" priority="186" operator="containsText" text="Explotarla">
      <formula>NOT(ISERROR(SEARCH("Explotarla",K57)))</formula>
    </cfRule>
    <cfRule type="containsText" dxfId="76" priority="187" operator="containsText" text="Apropiarse">
      <formula>NOT(ISERROR(SEARCH("Apropiarse",K57)))</formula>
    </cfRule>
    <cfRule type="containsText" dxfId="75" priority="188" operator="containsText" text="ABORDAR">
      <formula>NOT(ISERROR(SEARCH("ABORDAR",K57)))</formula>
    </cfRule>
    <cfRule type="containsText" dxfId="74" priority="189" operator="containsText" text="ANALIZAR">
      <formula>NOT(ISERROR(SEARCH("ANALIZAR",K57)))</formula>
    </cfRule>
    <cfRule type="cellIs" dxfId="73" priority="190" operator="equal">
      <formula>"Atención Inmediata"</formula>
    </cfRule>
    <cfRule type="cellIs" dxfId="72" priority="191" operator="equal">
      <formula>"Minimizarlo"</formula>
    </cfRule>
    <cfRule type="cellIs" dxfId="71" priority="192" operator="equal">
      <formula>"Controlarlo"</formula>
    </cfRule>
    <cfRule type="cellIs" dxfId="70" priority="193" operator="equal">
      <formula>"Asumirlo"</formula>
    </cfRule>
  </conditionalFormatting>
  <conditionalFormatting sqref="J57 J62 J67 J72 J77 J82 J87 J92 J97">
    <cfRule type="cellIs" dxfId="69" priority="181" operator="equal">
      <formula>"Intolerable"</formula>
    </cfRule>
    <cfRule type="cellIs" dxfId="68" priority="182" operator="equal">
      <formula>"Importante"</formula>
    </cfRule>
    <cfRule type="cellIs" dxfId="67" priority="183" operator="equal">
      <formula>"Moderado"</formula>
    </cfRule>
    <cfRule type="cellIs" dxfId="66" priority="184" operator="equal">
      <formula>"Tolerable"</formula>
    </cfRule>
  </conditionalFormatting>
  <conditionalFormatting sqref="J57 J62 J67 J72 J77 J82 J87 J92 J97">
    <cfRule type="cellIs" dxfId="65" priority="173" operator="equal">
      <formula>"Limitada"</formula>
    </cfRule>
    <cfRule type="cellIs" dxfId="64" priority="174" operator="equal">
      <formula>"Media"</formula>
    </cfRule>
    <cfRule type="cellIs" dxfId="63" priority="175" operator="equal">
      <formula>"Potencial"</formula>
    </cfRule>
    <cfRule type="cellIs" dxfId="62" priority="176" operator="equal">
      <formula>"Tolerable"</formula>
    </cfRule>
    <cfRule type="cellIs" dxfId="61" priority="177" operator="equal">
      <formula>"Sobresaliente"</formula>
    </cfRule>
    <cfRule type="cellIs" dxfId="60" priority="178" operator="equal">
      <formula>"Moderado"</formula>
    </cfRule>
    <cfRule type="cellIs" dxfId="59" priority="179" operator="equal">
      <formula>"Importante"</formula>
    </cfRule>
    <cfRule type="cellIs" dxfId="58" priority="180" operator="equal">
      <formula>"Intolerable"</formula>
    </cfRule>
  </conditionalFormatting>
  <conditionalFormatting sqref="I18 I23 I28 I33 I48">
    <cfRule type="cellIs" dxfId="57" priority="172" operator="equal">
      <formula>0</formula>
    </cfRule>
  </conditionalFormatting>
  <conditionalFormatting sqref="K18 K23 K28 K33 K48">
    <cfRule type="cellIs" dxfId="56" priority="168" operator="equal">
      <formula>"Atención Inmediata"</formula>
    </cfRule>
    <cfRule type="cellIs" dxfId="55" priority="169" operator="equal">
      <formula>"Minimizarlo"</formula>
    </cfRule>
    <cfRule type="cellIs" dxfId="54" priority="170" operator="equal">
      <formula>"Controlarlo"</formula>
    </cfRule>
    <cfRule type="cellIs" dxfId="53" priority="171" operator="equal">
      <formula>"Asumirlo"</formula>
    </cfRule>
  </conditionalFormatting>
  <conditionalFormatting sqref="K18 K23 K28 K33 K48">
    <cfRule type="cellIs" dxfId="52" priority="159" operator="equal">
      <formula>"A CONSIDERAR"</formula>
    </cfRule>
    <cfRule type="containsText" dxfId="51" priority="160" operator="containsText" text="Explotarla">
      <formula>NOT(ISERROR(SEARCH("Explotarla",K18)))</formula>
    </cfRule>
    <cfRule type="containsText" dxfId="50" priority="161" operator="containsText" text="Apropiarse">
      <formula>NOT(ISERROR(SEARCH("Apropiarse",K18)))</formula>
    </cfRule>
    <cfRule type="containsText" dxfId="49" priority="162" operator="containsText" text="ABORDAR">
      <formula>NOT(ISERROR(SEARCH("ABORDAR",K18)))</formula>
    </cfRule>
    <cfRule type="containsText" dxfId="48" priority="163" operator="containsText" text="ANALIZAR">
      <formula>NOT(ISERROR(SEARCH("ANALIZAR",K18)))</formula>
    </cfRule>
    <cfRule type="cellIs" dxfId="47" priority="164" operator="equal">
      <formula>"Atención Inmediata"</formula>
    </cfRule>
    <cfRule type="cellIs" dxfId="46" priority="165" operator="equal">
      <formula>"Minimizarlo"</formula>
    </cfRule>
    <cfRule type="cellIs" dxfId="45" priority="166" operator="equal">
      <formula>"Controlarlo"</formula>
    </cfRule>
    <cfRule type="cellIs" dxfId="44" priority="167" operator="equal">
      <formula>"Asumirlo"</formula>
    </cfRule>
  </conditionalFormatting>
  <conditionalFormatting sqref="J18 J23 J28 J33 J48">
    <cfRule type="cellIs" dxfId="43" priority="155" operator="equal">
      <formula>"Intolerable"</formula>
    </cfRule>
    <cfRule type="cellIs" dxfId="42" priority="156" operator="equal">
      <formula>"Importante"</formula>
    </cfRule>
    <cfRule type="cellIs" dxfId="41" priority="157" operator="equal">
      <formula>"Moderado"</formula>
    </cfRule>
    <cfRule type="cellIs" dxfId="40" priority="158" operator="equal">
      <formula>"Tolerable"</formula>
    </cfRule>
  </conditionalFormatting>
  <conditionalFormatting sqref="J18 J23 J28 J33 J48">
    <cfRule type="cellIs" dxfId="39" priority="147" operator="equal">
      <formula>"Limitada"</formula>
    </cfRule>
    <cfRule type="cellIs" dxfId="38" priority="148" operator="equal">
      <formula>"Media"</formula>
    </cfRule>
    <cfRule type="cellIs" dxfId="37" priority="149" operator="equal">
      <formula>"Potencial"</formula>
    </cfRule>
    <cfRule type="cellIs" dxfId="36" priority="150" operator="equal">
      <formula>"Tolerable"</formula>
    </cfRule>
    <cfRule type="cellIs" dxfId="35" priority="151" operator="equal">
      <formula>"Sobresaliente"</formula>
    </cfRule>
    <cfRule type="cellIs" dxfId="34" priority="152" operator="equal">
      <formula>"Moderado"</formula>
    </cfRule>
    <cfRule type="cellIs" dxfId="33" priority="153" operator="equal">
      <formula>"Importante"</formula>
    </cfRule>
    <cfRule type="cellIs" dxfId="32" priority="154" operator="equal">
      <formula>"Intolerable"</formula>
    </cfRule>
  </conditionalFormatting>
  <conditionalFormatting sqref="I38 I43">
    <cfRule type="cellIs" dxfId="31" priority="120" operator="equal">
      <formula>0</formula>
    </cfRule>
  </conditionalFormatting>
  <conditionalFormatting sqref="K38 K43">
    <cfRule type="cellIs" dxfId="30" priority="116" operator="equal">
      <formula>"Atención Inmediata"</formula>
    </cfRule>
    <cfRule type="cellIs" dxfId="29" priority="117" operator="equal">
      <formula>"Minimizarlo"</formula>
    </cfRule>
    <cfRule type="cellIs" dxfId="28" priority="118" operator="equal">
      <formula>"Controlarlo"</formula>
    </cfRule>
    <cfRule type="cellIs" dxfId="27" priority="119" operator="equal">
      <formula>"Asumirlo"</formula>
    </cfRule>
  </conditionalFormatting>
  <conditionalFormatting sqref="K38 K43">
    <cfRule type="cellIs" dxfId="26" priority="107" operator="equal">
      <formula>"A CONSIDERAR"</formula>
    </cfRule>
    <cfRule type="containsText" dxfId="25" priority="108" operator="containsText" text="Explotarla">
      <formula>NOT(ISERROR(SEARCH("Explotarla",K38)))</formula>
    </cfRule>
    <cfRule type="containsText" dxfId="24" priority="109" operator="containsText" text="Apropiarse">
      <formula>NOT(ISERROR(SEARCH("Apropiarse",K38)))</formula>
    </cfRule>
    <cfRule type="containsText" dxfId="23" priority="110" operator="containsText" text="ABORDAR">
      <formula>NOT(ISERROR(SEARCH("ABORDAR",K38)))</formula>
    </cfRule>
    <cfRule type="containsText" dxfId="22" priority="111" operator="containsText" text="ANALIZAR">
      <formula>NOT(ISERROR(SEARCH("ANALIZAR",K38)))</formula>
    </cfRule>
    <cfRule type="cellIs" dxfId="21" priority="112" operator="equal">
      <formula>"Atención Inmediata"</formula>
    </cfRule>
    <cfRule type="cellIs" dxfId="20" priority="113" operator="equal">
      <formula>"Minimizarlo"</formula>
    </cfRule>
    <cfRule type="cellIs" dxfId="19" priority="114" operator="equal">
      <formula>"Controlarlo"</formula>
    </cfRule>
    <cfRule type="cellIs" dxfId="18" priority="115" operator="equal">
      <formula>"Asumirlo"</formula>
    </cfRule>
  </conditionalFormatting>
  <conditionalFormatting sqref="J38 J43">
    <cfRule type="cellIs" dxfId="17" priority="103" operator="equal">
      <formula>"Intolerable"</formula>
    </cfRule>
    <cfRule type="cellIs" dxfId="16" priority="104" operator="equal">
      <formula>"Importante"</formula>
    </cfRule>
    <cfRule type="cellIs" dxfId="15" priority="105" operator="equal">
      <formula>"Moderado"</formula>
    </cfRule>
    <cfRule type="cellIs" dxfId="14" priority="106" operator="equal">
      <formula>"Tolerable"</formula>
    </cfRule>
  </conditionalFormatting>
  <conditionalFormatting sqref="J38 J43">
    <cfRule type="cellIs" dxfId="13" priority="95" operator="equal">
      <formula>"Limitada"</formula>
    </cfRule>
    <cfRule type="cellIs" dxfId="12" priority="96" operator="equal">
      <formula>"Media"</formula>
    </cfRule>
    <cfRule type="cellIs" dxfId="11" priority="97" operator="equal">
      <formula>"Potencial"</formula>
    </cfRule>
    <cfRule type="cellIs" dxfId="10" priority="98" operator="equal">
      <formula>"Tolerable"</formula>
    </cfRule>
    <cfRule type="cellIs" dxfId="9" priority="99" operator="equal">
      <formula>"Sobresaliente"</formula>
    </cfRule>
    <cfRule type="cellIs" dxfId="8" priority="100" operator="equal">
      <formula>"Moderado"</formula>
    </cfRule>
    <cfRule type="cellIs" dxfId="7" priority="101" operator="equal">
      <formula>"Importante"</formula>
    </cfRule>
    <cfRule type="cellIs" dxfId="6" priority="102" operator="equal">
      <formula>"Intolerable"</formula>
    </cfRule>
  </conditionalFormatting>
  <dataValidations count="5">
    <dataValidation type="list" allowBlank="1" showInputMessage="1" showErrorMessage="1" sqref="H28 H33 H48 H8 H13 H18 H23 H57 H62 H67 H72 H77 H82 H87 H38 H43 H92 H97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28 D33 D48 D8 D13 D18 D23 D57 D62 D67 D72 D77 D82 D87 D38 D43 D92 D97">
      <formula1>"Baja, Media, Alta"</formula1>
    </dataValidation>
    <dataValidation type="list" allowBlank="1" showInputMessage="1" showErrorMessage="1" sqref="A28 A33 A48 A8 A13 A18 A23 A57 A62 A67 A72 A77 A82 A87 A38 A43 A92 A97">
      <formula1>"Riesgo,Oportunidad"</formula1>
    </dataValidation>
    <dataValidation type="list" allowBlank="1" showInputMessage="1" showErrorMessage="1" sqref="G57:G101">
      <formula1>"Leve, Moderado,Importante"</formula1>
    </dataValidation>
    <dataValidation type="list" allowBlank="1" showInputMessage="1" showErrorMessage="1" sqref="G8:G52">
      <formula1>"Leve, Moderado,Grave"</formula1>
    </dataValidation>
  </dataValidations>
  <pageMargins left="0.25" right="0.25" top="0.75" bottom="1.0900000000000001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80" zoomScaleNormal="90" zoomScaleSheetLayoutView="80" zoomScalePageLayoutView="85" workbookViewId="0">
      <selection activeCell="B62" sqref="B62:E66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5703125" style="9" customWidth="1"/>
    <col min="4" max="4" width="51.570312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37"/>
      <c r="B1" s="137"/>
      <c r="C1" s="137"/>
      <c r="D1" s="140" t="s">
        <v>165</v>
      </c>
      <c r="E1" s="141"/>
      <c r="F1" s="141"/>
      <c r="G1" s="141"/>
      <c r="H1" s="141"/>
      <c r="I1" s="141"/>
      <c r="J1" s="141"/>
      <c r="K1" s="69" t="s">
        <v>146</v>
      </c>
    </row>
    <row r="2" spans="1:11" ht="42.75" customHeight="1" x14ac:dyDescent="0.25">
      <c r="A2" s="137"/>
      <c r="B2" s="137"/>
      <c r="C2" s="137"/>
      <c r="D2" s="141" t="s">
        <v>88</v>
      </c>
      <c r="E2" s="141"/>
      <c r="F2" s="141"/>
      <c r="G2" s="141"/>
      <c r="H2" s="141"/>
      <c r="I2" s="141"/>
      <c r="J2" s="141"/>
      <c r="K2" s="76" t="s">
        <v>147</v>
      </c>
    </row>
    <row r="4" spans="1:11" ht="32.25" customHeight="1" thickBot="1" x14ac:dyDescent="0.3">
      <c r="A4" s="142" t="s">
        <v>49</v>
      </c>
      <c r="B4" s="142"/>
      <c r="C4" s="142"/>
      <c r="D4" s="142"/>
      <c r="E4" s="142"/>
      <c r="G4" s="142" t="s">
        <v>28</v>
      </c>
      <c r="H4" s="142"/>
      <c r="I4" s="142"/>
      <c r="J4" s="142"/>
      <c r="K4" s="142"/>
    </row>
    <row r="5" spans="1:11" ht="41.25" customHeight="1" thickTop="1" x14ac:dyDescent="0.25">
      <c r="A5" s="11" t="s">
        <v>29</v>
      </c>
      <c r="B5" s="138" t="s">
        <v>48</v>
      </c>
      <c r="C5" s="138"/>
      <c r="D5" s="138"/>
      <c r="E5" s="139"/>
      <c r="F5" s="12"/>
      <c r="G5" s="11" t="s">
        <v>29</v>
      </c>
      <c r="H5" s="115" t="s">
        <v>48</v>
      </c>
      <c r="I5" s="115"/>
      <c r="J5" s="115"/>
      <c r="K5" s="116"/>
    </row>
    <row r="6" spans="1:11" ht="65.25" customHeight="1" x14ac:dyDescent="0.25">
      <c r="A6" s="13" t="s">
        <v>33</v>
      </c>
      <c r="B6" s="136" t="s">
        <v>60</v>
      </c>
      <c r="C6" s="117"/>
      <c r="D6" s="117"/>
      <c r="E6" s="118"/>
      <c r="F6" s="12"/>
      <c r="G6" s="13" t="s">
        <v>33</v>
      </c>
      <c r="H6" s="119" t="s">
        <v>62</v>
      </c>
      <c r="I6" s="119"/>
      <c r="J6" s="119"/>
      <c r="K6" s="120"/>
    </row>
    <row r="7" spans="1:11" ht="44.25" customHeight="1" x14ac:dyDescent="0.25">
      <c r="A7" s="13" t="s">
        <v>9</v>
      </c>
      <c r="B7" s="136" t="s">
        <v>169</v>
      </c>
      <c r="C7" s="117"/>
      <c r="D7" s="117"/>
      <c r="E7" s="118"/>
      <c r="F7" s="12"/>
      <c r="G7" s="13" t="s">
        <v>9</v>
      </c>
      <c r="H7" s="119" t="s">
        <v>175</v>
      </c>
      <c r="I7" s="119"/>
      <c r="J7" s="119"/>
      <c r="K7" s="120"/>
    </row>
    <row r="8" spans="1:11" ht="65.25" customHeight="1" x14ac:dyDescent="0.25">
      <c r="A8" s="13" t="s">
        <v>10</v>
      </c>
      <c r="B8" s="136" t="s">
        <v>83</v>
      </c>
      <c r="C8" s="117"/>
      <c r="D8" s="117"/>
      <c r="E8" s="118"/>
      <c r="F8" s="12"/>
      <c r="G8" s="13" t="s">
        <v>10</v>
      </c>
      <c r="H8" s="119" t="s">
        <v>85</v>
      </c>
      <c r="I8" s="119"/>
      <c r="J8" s="119"/>
      <c r="K8" s="120"/>
    </row>
    <row r="9" spans="1:11" ht="48.75" customHeight="1" x14ac:dyDescent="0.25">
      <c r="A9" s="13" t="s">
        <v>34</v>
      </c>
      <c r="B9" s="136" t="s">
        <v>84</v>
      </c>
      <c r="C9" s="117"/>
      <c r="D9" s="117"/>
      <c r="E9" s="118"/>
      <c r="F9" s="12"/>
      <c r="G9" s="13" t="s">
        <v>34</v>
      </c>
      <c r="H9" s="119" t="s">
        <v>86</v>
      </c>
      <c r="I9" s="119"/>
      <c r="J9" s="119"/>
      <c r="K9" s="120"/>
    </row>
    <row r="10" spans="1:11" ht="51" customHeight="1" x14ac:dyDescent="0.25">
      <c r="A10" s="13" t="s">
        <v>6</v>
      </c>
      <c r="B10" s="136" t="s">
        <v>59</v>
      </c>
      <c r="C10" s="117"/>
      <c r="D10" s="117"/>
      <c r="E10" s="118"/>
      <c r="F10" s="12"/>
      <c r="G10" s="13" t="s">
        <v>6</v>
      </c>
      <c r="H10" s="119" t="s">
        <v>61</v>
      </c>
      <c r="I10" s="119"/>
      <c r="J10" s="119"/>
      <c r="K10" s="120"/>
    </row>
    <row r="11" spans="1:11" ht="42" customHeight="1" x14ac:dyDescent="0.25">
      <c r="A11" s="13" t="s">
        <v>52</v>
      </c>
      <c r="B11" s="136" t="s">
        <v>170</v>
      </c>
      <c r="C11" s="117"/>
      <c r="D11" s="117"/>
      <c r="E11" s="118"/>
      <c r="F11" s="14"/>
      <c r="G11" s="13" t="s">
        <v>52</v>
      </c>
      <c r="H11" s="119" t="s">
        <v>176</v>
      </c>
      <c r="I11" s="119"/>
      <c r="J11" s="119"/>
      <c r="K11" s="120"/>
    </row>
    <row r="12" spans="1:11" ht="42" customHeight="1" x14ac:dyDescent="0.2">
      <c r="A12" s="29" t="s">
        <v>64</v>
      </c>
      <c r="B12" s="110" t="s">
        <v>66</v>
      </c>
      <c r="C12" s="110"/>
      <c r="D12" s="110"/>
      <c r="E12" s="111"/>
      <c r="F12" s="14"/>
      <c r="G12" s="29" t="s">
        <v>64</v>
      </c>
      <c r="H12" s="112" t="s">
        <v>65</v>
      </c>
      <c r="I12" s="113"/>
      <c r="J12" s="113"/>
      <c r="K12" s="114"/>
    </row>
    <row r="13" spans="1:11" ht="42" customHeight="1" x14ac:dyDescent="0.25">
      <c r="A13" s="29" t="s">
        <v>67</v>
      </c>
      <c r="B13" s="131" t="s">
        <v>68</v>
      </c>
      <c r="C13" s="131"/>
      <c r="D13" s="131"/>
      <c r="E13" s="132"/>
      <c r="F13" s="14"/>
      <c r="G13" s="29" t="s">
        <v>67</v>
      </c>
      <c r="H13" s="133" t="s">
        <v>177</v>
      </c>
      <c r="I13" s="134"/>
      <c r="J13" s="134"/>
      <c r="K13" s="135"/>
    </row>
    <row r="14" spans="1:11" ht="44.25" customHeight="1" thickBot="1" x14ac:dyDescent="0.3">
      <c r="A14" s="15" t="s">
        <v>35</v>
      </c>
      <c r="B14" s="127" t="s">
        <v>166</v>
      </c>
      <c r="C14" s="108"/>
      <c r="D14" s="108"/>
      <c r="E14" s="109"/>
      <c r="F14" s="12"/>
      <c r="G14" s="15" t="s">
        <v>35</v>
      </c>
      <c r="H14" s="108" t="s">
        <v>87</v>
      </c>
      <c r="I14" s="108"/>
      <c r="J14" s="108"/>
      <c r="K14" s="109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73</v>
      </c>
      <c r="B16" s="128" t="s">
        <v>48</v>
      </c>
      <c r="C16" s="129"/>
      <c r="D16" s="129"/>
      <c r="E16" s="130"/>
      <c r="F16" s="12"/>
      <c r="G16" s="27" t="s">
        <v>73</v>
      </c>
      <c r="H16" s="115" t="s">
        <v>48</v>
      </c>
      <c r="I16" s="115"/>
      <c r="J16" s="115"/>
      <c r="K16" s="116"/>
    </row>
    <row r="17" spans="1:11" x14ac:dyDescent="0.25">
      <c r="A17" s="78" t="s">
        <v>16</v>
      </c>
      <c r="B17" s="121" t="s">
        <v>53</v>
      </c>
      <c r="C17" s="122"/>
      <c r="D17" s="122"/>
      <c r="E17" s="123"/>
      <c r="F17" s="12"/>
      <c r="G17" s="13" t="s">
        <v>16</v>
      </c>
      <c r="H17" s="119" t="s">
        <v>54</v>
      </c>
      <c r="I17" s="119"/>
      <c r="J17" s="119"/>
      <c r="K17" s="120"/>
    </row>
    <row r="18" spans="1:11" x14ac:dyDescent="0.25">
      <c r="A18" s="78" t="s">
        <v>15</v>
      </c>
      <c r="B18" s="121" t="s">
        <v>55</v>
      </c>
      <c r="C18" s="122"/>
      <c r="D18" s="122"/>
      <c r="E18" s="123"/>
      <c r="F18" s="18"/>
      <c r="G18" s="13" t="s">
        <v>15</v>
      </c>
      <c r="H18" s="119" t="s">
        <v>56</v>
      </c>
      <c r="I18" s="119"/>
      <c r="J18" s="119"/>
      <c r="K18" s="120"/>
    </row>
    <row r="19" spans="1:11" ht="33.75" customHeight="1" thickBot="1" x14ac:dyDescent="0.3">
      <c r="A19" s="79" t="s">
        <v>12</v>
      </c>
      <c r="B19" s="124" t="s">
        <v>57</v>
      </c>
      <c r="C19" s="125"/>
      <c r="D19" s="125"/>
      <c r="E19" s="126"/>
      <c r="F19" s="12"/>
      <c r="G19" s="15" t="s">
        <v>12</v>
      </c>
      <c r="H19" s="108" t="s">
        <v>58</v>
      </c>
      <c r="I19" s="108"/>
      <c r="J19" s="108"/>
      <c r="K19" s="109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76</v>
      </c>
      <c r="B21" s="115" t="s">
        <v>48</v>
      </c>
      <c r="C21" s="115"/>
      <c r="D21" s="115"/>
      <c r="E21" s="116"/>
      <c r="F21" s="12"/>
      <c r="G21" s="11" t="s">
        <v>76</v>
      </c>
      <c r="H21" s="115" t="s">
        <v>48</v>
      </c>
      <c r="I21" s="115"/>
      <c r="J21" s="115"/>
      <c r="K21" s="116"/>
    </row>
    <row r="22" spans="1:11" ht="51" customHeight="1" x14ac:dyDescent="0.25">
      <c r="A22" s="30" t="s">
        <v>13</v>
      </c>
      <c r="B22" s="117" t="s">
        <v>77</v>
      </c>
      <c r="C22" s="117"/>
      <c r="D22" s="117"/>
      <c r="E22" s="118"/>
      <c r="F22" s="12"/>
      <c r="G22" s="13" t="s">
        <v>13</v>
      </c>
      <c r="H22" s="119" t="s">
        <v>80</v>
      </c>
      <c r="I22" s="119"/>
      <c r="J22" s="119"/>
      <c r="K22" s="120"/>
    </row>
    <row r="23" spans="1:11" ht="51" customHeight="1" x14ac:dyDescent="0.25">
      <c r="A23" s="31" t="s">
        <v>4</v>
      </c>
      <c r="B23" s="119" t="s">
        <v>78</v>
      </c>
      <c r="C23" s="119"/>
      <c r="D23" s="119"/>
      <c r="E23" s="120"/>
      <c r="F23" s="12"/>
      <c r="G23" s="13" t="s">
        <v>4</v>
      </c>
      <c r="H23" s="119" t="s">
        <v>81</v>
      </c>
      <c r="I23" s="119"/>
      <c r="J23" s="119"/>
      <c r="K23" s="120"/>
    </row>
    <row r="24" spans="1:11" ht="51" customHeight="1" thickBot="1" x14ac:dyDescent="0.3">
      <c r="A24" s="32" t="s">
        <v>14</v>
      </c>
      <c r="B24" s="108" t="s">
        <v>79</v>
      </c>
      <c r="C24" s="108"/>
      <c r="D24" s="108"/>
      <c r="E24" s="109"/>
      <c r="F24" s="12"/>
      <c r="G24" s="15" t="s">
        <v>63</v>
      </c>
      <c r="H24" s="108" t="s">
        <v>82</v>
      </c>
      <c r="I24" s="108"/>
      <c r="J24" s="108"/>
      <c r="K24" s="109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50</v>
      </c>
      <c r="B26" s="28" t="s">
        <v>30</v>
      </c>
      <c r="C26" s="28" t="s">
        <v>31</v>
      </c>
      <c r="D26" s="67" t="s">
        <v>51</v>
      </c>
      <c r="E26" s="80"/>
      <c r="F26" s="12"/>
      <c r="G26" s="11" t="s">
        <v>50</v>
      </c>
      <c r="H26" s="66" t="s">
        <v>30</v>
      </c>
      <c r="I26" s="66" t="s">
        <v>31</v>
      </c>
      <c r="J26" s="82" t="s">
        <v>51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171</v>
      </c>
      <c r="E27" s="81"/>
      <c r="F27" s="12"/>
      <c r="G27" s="13" t="s">
        <v>36</v>
      </c>
      <c r="H27" s="20" t="s">
        <v>37</v>
      </c>
      <c r="I27" s="20" t="s">
        <v>38</v>
      </c>
      <c r="J27" s="85" t="s">
        <v>128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8" t="s">
        <v>126</v>
      </c>
      <c r="E28" s="81"/>
      <c r="F28" s="12"/>
      <c r="G28" s="13" t="s">
        <v>39</v>
      </c>
      <c r="H28" s="22" t="s">
        <v>40</v>
      </c>
      <c r="I28" s="22" t="s">
        <v>41</v>
      </c>
      <c r="J28" s="70" t="s">
        <v>178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172</v>
      </c>
      <c r="E29" s="81"/>
      <c r="F29" s="12"/>
      <c r="G29" s="13" t="s">
        <v>42</v>
      </c>
      <c r="H29" s="24" t="s">
        <v>43</v>
      </c>
      <c r="I29" s="24" t="s">
        <v>44</v>
      </c>
      <c r="J29" s="70" t="s">
        <v>127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173</v>
      </c>
      <c r="E30" s="81"/>
      <c r="F30" s="12"/>
      <c r="G30" s="15" t="s">
        <v>45</v>
      </c>
      <c r="H30" s="61" t="s">
        <v>46</v>
      </c>
      <c r="I30" s="61" t="s">
        <v>47</v>
      </c>
      <c r="J30" s="71" t="s">
        <v>179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174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zoomScale="80" zoomScaleNormal="80"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214" t="s">
        <v>72</v>
      </c>
      <c r="B1" s="215"/>
      <c r="D1" s="214" t="s">
        <v>71</v>
      </c>
      <c r="E1" s="215"/>
      <c r="G1" s="214" t="s">
        <v>70</v>
      </c>
      <c r="H1" s="215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5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5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5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52</v>
      </c>
      <c r="B5">
        <v>8</v>
      </c>
      <c r="G5" s="1" t="s">
        <v>63</v>
      </c>
      <c r="H5" s="95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64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67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showGridLines="0" view="pageBreakPreview" zoomScale="80" zoomScaleSheetLayoutView="80" workbookViewId="0">
      <selection activeCell="B64" sqref="B64:E64"/>
    </sheetView>
  </sheetViews>
  <sheetFormatPr baseColWidth="10" defaultColWidth="11.42578125" defaultRowHeight="14.25" x14ac:dyDescent="0.2"/>
  <cols>
    <col min="1" max="1" width="15.85546875" style="33" customWidth="1"/>
    <col min="2" max="2" width="21.5703125" style="33" customWidth="1"/>
    <col min="3" max="6" width="15.570312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49"/>
      <c r="B1" s="249"/>
      <c r="C1" s="244" t="s">
        <v>165</v>
      </c>
      <c r="D1" s="244"/>
      <c r="E1" s="244"/>
      <c r="F1" s="244"/>
      <c r="G1" s="249" t="s">
        <v>146</v>
      </c>
      <c r="H1" s="249"/>
    </row>
    <row r="2" spans="1:8" ht="30" customHeight="1" x14ac:dyDescent="0.2">
      <c r="A2" s="249"/>
      <c r="B2" s="249"/>
      <c r="C2" s="245" t="s">
        <v>133</v>
      </c>
      <c r="D2" s="245"/>
      <c r="E2" s="245"/>
      <c r="F2" s="245"/>
      <c r="G2" s="252" t="s">
        <v>148</v>
      </c>
      <c r="H2" s="252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50"/>
      <c r="E4" s="250"/>
      <c r="F4" s="41" t="s">
        <v>121</v>
      </c>
      <c r="G4" s="250"/>
      <c r="H4" s="251"/>
    </row>
    <row r="5" spans="1:8" ht="15.75" customHeight="1" x14ac:dyDescent="0.25">
      <c r="A5" s="253" t="s">
        <v>120</v>
      </c>
      <c r="B5" s="254"/>
      <c r="C5" s="254"/>
      <c r="D5" s="246"/>
      <c r="E5" s="247"/>
      <c r="F5" s="247"/>
      <c r="G5" s="247"/>
      <c r="H5" s="248"/>
    </row>
    <row r="6" spans="1:8" ht="15.75" customHeight="1" x14ac:dyDescent="0.2">
      <c r="A6" s="241"/>
      <c r="B6" s="242"/>
      <c r="C6" s="242"/>
      <c r="D6" s="242"/>
      <c r="E6" s="242"/>
      <c r="F6" s="242"/>
      <c r="G6" s="242"/>
      <c r="H6" s="243"/>
    </row>
    <row r="7" spans="1:8" ht="15" x14ac:dyDescent="0.2">
      <c r="A7" s="223" t="s">
        <v>124</v>
      </c>
      <c r="B7" s="224" t="s">
        <v>130</v>
      </c>
      <c r="C7" s="224" t="s">
        <v>119</v>
      </c>
      <c r="D7" s="224"/>
      <c r="E7" s="224"/>
      <c r="F7" s="224"/>
      <c r="G7" s="224" t="s">
        <v>118</v>
      </c>
      <c r="H7" s="219" t="s">
        <v>117</v>
      </c>
    </row>
    <row r="8" spans="1:8" ht="15" x14ac:dyDescent="0.2">
      <c r="A8" s="223"/>
      <c r="B8" s="224"/>
      <c r="C8" s="40">
        <v>1</v>
      </c>
      <c r="D8" s="40">
        <v>2</v>
      </c>
      <c r="E8" s="40">
        <v>3</v>
      </c>
      <c r="F8" s="40">
        <v>4</v>
      </c>
      <c r="G8" s="224"/>
      <c r="H8" s="219"/>
    </row>
    <row r="9" spans="1:8" ht="173.25" x14ac:dyDescent="0.2">
      <c r="A9" s="48" t="str">
        <f>'Matriz Riesgo y Op'!M8</f>
        <v>Garantizar que la información indicada en la "Requisición del bien y servicio" este completa y correcta.</v>
      </c>
      <c r="B9" s="216" t="str">
        <f>'Matriz Riesgo y Op'!C8</f>
        <v xml:space="preserve">
Proveer un bien o servicio no adecuado</v>
      </c>
      <c r="C9" s="38"/>
      <c r="D9" s="38"/>
      <c r="E9" s="38"/>
      <c r="F9" s="38"/>
      <c r="G9" s="39"/>
      <c r="H9" s="49"/>
    </row>
    <row r="10" spans="1:8" ht="15.75" x14ac:dyDescent="0.2">
      <c r="A10" s="48">
        <f>'Matriz Riesgo y Op'!M9</f>
        <v>0</v>
      </c>
      <c r="B10" s="217"/>
      <c r="C10" s="38"/>
      <c r="D10" s="38"/>
      <c r="E10" s="38"/>
      <c r="F10" s="38"/>
      <c r="G10" s="39"/>
      <c r="H10" s="49"/>
    </row>
    <row r="11" spans="1:8" ht="15.75" x14ac:dyDescent="0.2">
      <c r="A11" s="48">
        <f>'Matriz Riesgo y Op'!M10</f>
        <v>0</v>
      </c>
      <c r="B11" s="217"/>
      <c r="C11" s="38"/>
      <c r="D11" s="38"/>
      <c r="E11" s="38"/>
      <c r="F11" s="38"/>
      <c r="G11" s="39"/>
      <c r="H11" s="49"/>
    </row>
    <row r="12" spans="1:8" ht="15.75" x14ac:dyDescent="0.2">
      <c r="A12" s="48">
        <f>'Matriz Riesgo y Op'!M11</f>
        <v>0</v>
      </c>
      <c r="B12" s="217"/>
      <c r="C12" s="38"/>
      <c r="D12" s="38"/>
      <c r="E12" s="38"/>
      <c r="F12" s="38"/>
      <c r="G12" s="39"/>
      <c r="H12" s="49"/>
    </row>
    <row r="13" spans="1:8" ht="15.75" x14ac:dyDescent="0.2">
      <c r="A13" s="48">
        <f>'Matriz Riesgo y Op'!M12</f>
        <v>0</v>
      </c>
      <c r="B13" s="218"/>
      <c r="C13" s="64"/>
      <c r="D13" s="64"/>
      <c r="E13" s="64"/>
      <c r="F13" s="64"/>
      <c r="G13" s="62"/>
      <c r="H13" s="63"/>
    </row>
    <row r="14" spans="1:8" ht="173.25" x14ac:dyDescent="0.2">
      <c r="A14" s="48" t="str">
        <f>'Matriz Riesgo y Op'!M13</f>
        <v>Garantizar que la información indicada en la "Requisición del bien y servicio" este completa y correcta.</v>
      </c>
      <c r="B14" s="216" t="str">
        <f>'Matriz Riesgo y Op'!C13</f>
        <v xml:space="preserve">
Que el bien solicitado no sea el adecuado</v>
      </c>
      <c r="C14" s="64"/>
      <c r="D14" s="64"/>
      <c r="E14" s="64"/>
      <c r="F14" s="64"/>
      <c r="G14" s="62"/>
      <c r="H14" s="63"/>
    </row>
    <row r="15" spans="1:8" ht="15.75" x14ac:dyDescent="0.2">
      <c r="A15" s="48">
        <f>'Matriz Riesgo y Op'!M14</f>
        <v>0</v>
      </c>
      <c r="B15" s="217"/>
      <c r="C15" s="64"/>
      <c r="D15" s="64"/>
      <c r="E15" s="64"/>
      <c r="F15" s="64"/>
      <c r="G15" s="62"/>
      <c r="H15" s="63"/>
    </row>
    <row r="16" spans="1:8" ht="15.75" x14ac:dyDescent="0.2">
      <c r="A16" s="48">
        <f>'Matriz Riesgo y Op'!M15</f>
        <v>0</v>
      </c>
      <c r="B16" s="217"/>
      <c r="C16" s="64"/>
      <c r="D16" s="64"/>
      <c r="E16" s="64"/>
      <c r="F16" s="64"/>
      <c r="G16" s="62"/>
      <c r="H16" s="63"/>
    </row>
    <row r="17" spans="1:8" ht="15.75" x14ac:dyDescent="0.2">
      <c r="A17" s="48">
        <f>'Matriz Riesgo y Op'!M16</f>
        <v>0</v>
      </c>
      <c r="B17" s="217"/>
      <c r="C17" s="64"/>
      <c r="D17" s="64"/>
      <c r="E17" s="64"/>
      <c r="F17" s="64"/>
      <c r="G17" s="62"/>
      <c r="H17" s="63"/>
    </row>
    <row r="18" spans="1:8" ht="15.75" x14ac:dyDescent="0.2">
      <c r="A18" s="48">
        <f>'Matriz Riesgo y Op'!M17</f>
        <v>0</v>
      </c>
      <c r="B18" s="218"/>
      <c r="C18" s="64"/>
      <c r="D18" s="64"/>
      <c r="E18" s="64"/>
      <c r="F18" s="64"/>
      <c r="G18" s="62"/>
      <c r="H18" s="63"/>
    </row>
    <row r="19" spans="1:8" ht="126" x14ac:dyDescent="0.2">
      <c r="A19" s="48" t="str">
        <f>'Matriz Riesgo y Op'!M18</f>
        <v>Monitorear la ministración de recursos cada vez que llega una "Requisición del bien y servicio".</v>
      </c>
      <c r="B19" s="216" t="str">
        <f>'Matriz Riesgo y Op'!C18</f>
        <v xml:space="preserve">No contar con suficiencia presupuestal en las partidas o que el presupuesto del bien o servicio  se encuentre en otra partida  </v>
      </c>
      <c r="C19" s="97"/>
      <c r="D19" s="97"/>
      <c r="E19" s="97"/>
      <c r="F19" s="97"/>
      <c r="G19" s="98"/>
      <c r="H19" s="99"/>
    </row>
    <row r="20" spans="1:8" ht="15.75" x14ac:dyDescent="0.2">
      <c r="A20" s="48">
        <f>'Matriz Riesgo y Op'!M19</f>
        <v>0</v>
      </c>
      <c r="B20" s="217"/>
      <c r="C20" s="97"/>
      <c r="D20" s="97"/>
      <c r="E20" s="97"/>
      <c r="F20" s="97"/>
      <c r="G20" s="98"/>
      <c r="H20" s="99"/>
    </row>
    <row r="21" spans="1:8" ht="15.75" x14ac:dyDescent="0.2">
      <c r="A21" s="48">
        <f>'Matriz Riesgo y Op'!M20</f>
        <v>0</v>
      </c>
      <c r="B21" s="217"/>
      <c r="C21" s="97"/>
      <c r="D21" s="97"/>
      <c r="E21" s="97"/>
      <c r="F21" s="97"/>
      <c r="G21" s="98"/>
      <c r="H21" s="99"/>
    </row>
    <row r="22" spans="1:8" ht="15.75" x14ac:dyDescent="0.2">
      <c r="A22" s="48">
        <f>'Matriz Riesgo y Op'!M21</f>
        <v>0</v>
      </c>
      <c r="B22" s="217"/>
      <c r="C22" s="97"/>
      <c r="D22" s="97"/>
      <c r="E22" s="97"/>
      <c r="F22" s="97"/>
      <c r="G22" s="98"/>
      <c r="H22" s="99"/>
    </row>
    <row r="23" spans="1:8" ht="15.75" x14ac:dyDescent="0.2">
      <c r="A23" s="48">
        <f>'Matriz Riesgo y Op'!M22</f>
        <v>0</v>
      </c>
      <c r="B23" s="218"/>
      <c r="C23" s="97"/>
      <c r="D23" s="97"/>
      <c r="E23" s="97"/>
      <c r="F23" s="97"/>
      <c r="G23" s="98"/>
      <c r="H23" s="99"/>
    </row>
    <row r="24" spans="1:8" ht="94.5" x14ac:dyDescent="0.2">
      <c r="A24" s="48" t="str">
        <f>'Matriz Riesgo y Op'!M23</f>
        <v>Ampliar el Catálogo de Proveedores para facilitar el estudio de Mercado.</v>
      </c>
      <c r="B24" s="216" t="str">
        <f>'Matriz Riesgo y Op'!C23</f>
        <v xml:space="preserve">Que no se cuente con los presupuestos respecto a las especificaciones solicitadas del bien o servicio
</v>
      </c>
      <c r="C24" s="97"/>
      <c r="D24" s="97"/>
      <c r="E24" s="97"/>
      <c r="F24" s="97"/>
      <c r="G24" s="98"/>
      <c r="H24" s="99"/>
    </row>
    <row r="25" spans="1:8" ht="15.75" x14ac:dyDescent="0.2">
      <c r="A25" s="48">
        <f>'Matriz Riesgo y Op'!M24</f>
        <v>0</v>
      </c>
      <c r="B25" s="217"/>
      <c r="C25" s="97"/>
      <c r="D25" s="97"/>
      <c r="E25" s="97"/>
      <c r="F25" s="97"/>
      <c r="G25" s="98"/>
      <c r="H25" s="99"/>
    </row>
    <row r="26" spans="1:8" ht="15.75" x14ac:dyDescent="0.2">
      <c r="A26" s="48">
        <f>'Matriz Riesgo y Op'!M25</f>
        <v>0</v>
      </c>
      <c r="B26" s="217"/>
      <c r="C26" s="97"/>
      <c r="D26" s="97"/>
      <c r="E26" s="97"/>
      <c r="F26" s="97"/>
      <c r="G26" s="98"/>
      <c r="H26" s="99"/>
    </row>
    <row r="27" spans="1:8" ht="15.75" x14ac:dyDescent="0.2">
      <c r="A27" s="48">
        <f>'Matriz Riesgo y Op'!M26</f>
        <v>0</v>
      </c>
      <c r="B27" s="217"/>
      <c r="C27" s="97"/>
      <c r="D27" s="97"/>
      <c r="E27" s="97"/>
      <c r="F27" s="97"/>
      <c r="G27" s="98"/>
      <c r="H27" s="99"/>
    </row>
    <row r="28" spans="1:8" ht="15.75" x14ac:dyDescent="0.2">
      <c r="A28" s="48">
        <f>'Matriz Riesgo y Op'!M27</f>
        <v>0</v>
      </c>
      <c r="B28" s="218"/>
      <c r="C28" s="97"/>
      <c r="D28" s="97"/>
      <c r="E28" s="97"/>
      <c r="F28" s="97"/>
      <c r="G28" s="98"/>
      <c r="H28" s="99"/>
    </row>
    <row r="29" spans="1:8" ht="63" x14ac:dyDescent="0.2">
      <c r="A29" s="48" t="str">
        <f>'Matriz Riesgo y Op'!M28</f>
        <v>Garantizar la elaboración del cuadro comparativo.</v>
      </c>
      <c r="B29" s="216" t="str">
        <f>'Matriz Riesgo y Op'!C28</f>
        <v>No contar con un documento en el que se concentren las mejores propuestas de proveedores  para el Instituto</v>
      </c>
      <c r="C29" s="97"/>
      <c r="D29" s="97"/>
      <c r="E29" s="97"/>
      <c r="F29" s="97"/>
      <c r="G29" s="98"/>
      <c r="H29" s="99"/>
    </row>
    <row r="30" spans="1:8" ht="15.75" x14ac:dyDescent="0.2">
      <c r="A30" s="48">
        <f>'Matriz Riesgo y Op'!M29</f>
        <v>0</v>
      </c>
      <c r="B30" s="217"/>
      <c r="C30" s="97"/>
      <c r="D30" s="97"/>
      <c r="E30" s="97"/>
      <c r="F30" s="97"/>
      <c r="G30" s="98"/>
      <c r="H30" s="99"/>
    </row>
    <row r="31" spans="1:8" ht="15.75" x14ac:dyDescent="0.2">
      <c r="A31" s="48">
        <f>'Matriz Riesgo y Op'!M30</f>
        <v>0</v>
      </c>
      <c r="B31" s="217"/>
      <c r="C31" s="97"/>
      <c r="D31" s="97"/>
      <c r="E31" s="97"/>
      <c r="F31" s="97"/>
      <c r="G31" s="98"/>
      <c r="H31" s="99"/>
    </row>
    <row r="32" spans="1:8" ht="15.75" x14ac:dyDescent="0.2">
      <c r="A32" s="48">
        <f>'Matriz Riesgo y Op'!M31</f>
        <v>0</v>
      </c>
      <c r="B32" s="217"/>
      <c r="C32" s="97"/>
      <c r="D32" s="97"/>
      <c r="E32" s="97"/>
      <c r="F32" s="97"/>
      <c r="G32" s="98"/>
      <c r="H32" s="99"/>
    </row>
    <row r="33" spans="1:8" ht="15.75" x14ac:dyDescent="0.2">
      <c r="A33" s="48">
        <f>'Matriz Riesgo y Op'!M32</f>
        <v>0</v>
      </c>
      <c r="B33" s="218"/>
      <c r="C33" s="97"/>
      <c r="D33" s="97"/>
      <c r="E33" s="97"/>
      <c r="F33" s="97"/>
      <c r="G33" s="98"/>
      <c r="H33" s="99"/>
    </row>
    <row r="34" spans="1:8" ht="141.75" x14ac:dyDescent="0.2">
      <c r="A34" s="48" t="str">
        <f>'Matriz Riesgo y Op'!M33</f>
        <v>Asegurar que se este aplicando la normatividad vigente para la determinación del tipo de adquisición.</v>
      </c>
      <c r="B34" s="216" t="str">
        <f>'Matriz Riesgo y Op'!C33</f>
        <v>Definir el tipo de contrato incorrectamente</v>
      </c>
      <c r="C34" s="97"/>
      <c r="D34" s="97"/>
      <c r="E34" s="97"/>
      <c r="F34" s="97"/>
      <c r="G34" s="98"/>
      <c r="H34" s="99"/>
    </row>
    <row r="35" spans="1:8" ht="15.75" x14ac:dyDescent="0.2">
      <c r="A35" s="48">
        <f>'Matriz Riesgo y Op'!M34</f>
        <v>0</v>
      </c>
      <c r="B35" s="217"/>
      <c r="C35" s="97"/>
      <c r="D35" s="97"/>
      <c r="E35" s="97"/>
      <c r="F35" s="97"/>
      <c r="G35" s="98"/>
      <c r="H35" s="99"/>
    </row>
    <row r="36" spans="1:8" ht="15.75" x14ac:dyDescent="0.2">
      <c r="A36" s="48">
        <f>'Matriz Riesgo y Op'!M35</f>
        <v>0</v>
      </c>
      <c r="B36" s="217"/>
      <c r="C36" s="97"/>
      <c r="D36" s="97"/>
      <c r="E36" s="97"/>
      <c r="F36" s="97"/>
      <c r="G36" s="98"/>
      <c r="H36" s="99"/>
    </row>
    <row r="37" spans="1:8" ht="15.75" x14ac:dyDescent="0.2">
      <c r="A37" s="48">
        <f>'Matriz Riesgo y Op'!M36</f>
        <v>0</v>
      </c>
      <c r="B37" s="217"/>
      <c r="C37" s="97"/>
      <c r="D37" s="97"/>
      <c r="E37" s="97"/>
      <c r="F37" s="97"/>
      <c r="G37" s="98"/>
      <c r="H37" s="99"/>
    </row>
    <row r="38" spans="1:8" ht="15.75" x14ac:dyDescent="0.2">
      <c r="A38" s="48">
        <f>'Matriz Riesgo y Op'!M37</f>
        <v>0</v>
      </c>
      <c r="B38" s="218"/>
      <c r="C38" s="97"/>
      <c r="D38" s="97"/>
      <c r="E38" s="97"/>
      <c r="F38" s="97"/>
      <c r="G38" s="98"/>
      <c r="H38" s="99"/>
    </row>
    <row r="39" spans="1:8" ht="189" x14ac:dyDescent="0.2">
      <c r="A39" s="48" t="str">
        <f>'Matriz Riesgo y Op'!M38</f>
        <v>Concentrar la información indicada en la "Requisición del bien y servicio", para el análisis previo a la autorización.</v>
      </c>
      <c r="B39" s="216" t="str">
        <f>'Matriz Riesgo y Op'!C38</f>
        <v>Que no se lleve a cabo la adquisición del bien o servicio en tiempo y forma para atender la solicitud</v>
      </c>
      <c r="C39" s="102"/>
      <c r="D39" s="102"/>
      <c r="E39" s="102"/>
      <c r="F39" s="102"/>
      <c r="G39" s="100"/>
      <c r="H39" s="101"/>
    </row>
    <row r="40" spans="1:8" ht="15.75" x14ac:dyDescent="0.2">
      <c r="A40" s="48">
        <f>'Matriz Riesgo y Op'!M39</f>
        <v>0</v>
      </c>
      <c r="B40" s="217"/>
      <c r="C40" s="102"/>
      <c r="D40" s="102"/>
      <c r="E40" s="102"/>
      <c r="F40" s="102"/>
      <c r="G40" s="100"/>
      <c r="H40" s="101"/>
    </row>
    <row r="41" spans="1:8" ht="15.75" x14ac:dyDescent="0.2">
      <c r="A41" s="48">
        <f>'Matriz Riesgo y Op'!M40</f>
        <v>0</v>
      </c>
      <c r="B41" s="217"/>
      <c r="C41" s="102"/>
      <c r="D41" s="102"/>
      <c r="E41" s="102"/>
      <c r="F41" s="102"/>
      <c r="G41" s="100"/>
      <c r="H41" s="101"/>
    </row>
    <row r="42" spans="1:8" ht="15.75" x14ac:dyDescent="0.2">
      <c r="A42" s="48">
        <f>'Matriz Riesgo y Op'!M41</f>
        <v>0</v>
      </c>
      <c r="B42" s="217"/>
      <c r="C42" s="102"/>
      <c r="D42" s="102"/>
      <c r="E42" s="102"/>
      <c r="F42" s="102"/>
      <c r="G42" s="100"/>
      <c r="H42" s="101"/>
    </row>
    <row r="43" spans="1:8" ht="15.75" x14ac:dyDescent="0.2">
      <c r="A43" s="48">
        <f>'Matriz Riesgo y Op'!M42</f>
        <v>0</v>
      </c>
      <c r="B43" s="218"/>
      <c r="C43" s="102"/>
      <c r="D43" s="102"/>
      <c r="E43" s="102"/>
      <c r="F43" s="102"/>
      <c r="G43" s="100"/>
      <c r="H43" s="101"/>
    </row>
    <row r="44" spans="1:8" ht="110.25" x14ac:dyDescent="0.2">
      <c r="A44" s="48" t="str">
        <f>'Matriz Riesgo y Op'!M43</f>
        <v>Asegurar  que se envíe la confirmación del Pedido- Contrato al proveedor.</v>
      </c>
      <c r="B44" s="216" t="str">
        <f>'Matriz Riesgo y Op'!C43</f>
        <v>No se cumpla con la entrega del bien o servicio por la falta de confirmación al Proveedor de que se le adjudica la adquisición</v>
      </c>
      <c r="C44" s="102"/>
      <c r="D44" s="102"/>
      <c r="E44" s="102"/>
      <c r="F44" s="102"/>
      <c r="G44" s="100"/>
      <c r="H44" s="101"/>
    </row>
    <row r="45" spans="1:8" ht="94.5" x14ac:dyDescent="0.2">
      <c r="A45" s="48" t="str">
        <f>'Matriz Riesgo y Op'!N44</f>
        <v>Vocales Secretarios Distritales/ Enlaces Administrativos</v>
      </c>
      <c r="B45" s="217"/>
      <c r="C45" s="102"/>
      <c r="D45" s="102"/>
      <c r="E45" s="102"/>
      <c r="F45" s="102"/>
      <c r="G45" s="100"/>
      <c r="H45" s="101"/>
    </row>
    <row r="46" spans="1:8" ht="15.75" x14ac:dyDescent="0.2">
      <c r="A46" s="48">
        <f>'Matriz Riesgo y Op'!M45</f>
        <v>0</v>
      </c>
      <c r="B46" s="217"/>
      <c r="C46" s="102"/>
      <c r="D46" s="102"/>
      <c r="E46" s="102"/>
      <c r="F46" s="102"/>
      <c r="G46" s="100"/>
      <c r="H46" s="101"/>
    </row>
    <row r="47" spans="1:8" ht="15.75" x14ac:dyDescent="0.2">
      <c r="A47" s="48">
        <f>'Matriz Riesgo y Op'!M46</f>
        <v>0</v>
      </c>
      <c r="B47" s="217"/>
      <c r="C47" s="102"/>
      <c r="D47" s="102"/>
      <c r="E47" s="102"/>
      <c r="F47" s="102"/>
      <c r="G47" s="100"/>
      <c r="H47" s="101"/>
    </row>
    <row r="48" spans="1:8" ht="15.75" x14ac:dyDescent="0.2">
      <c r="A48" s="48">
        <f>'Matriz Riesgo y Op'!M47</f>
        <v>0</v>
      </c>
      <c r="B48" s="218"/>
      <c r="C48" s="102"/>
      <c r="D48" s="102"/>
      <c r="E48" s="102"/>
      <c r="F48" s="102"/>
      <c r="G48" s="100"/>
      <c r="H48" s="101"/>
    </row>
    <row r="49" spans="1:8" ht="189" x14ac:dyDescent="0.2">
      <c r="A49" s="48" t="str">
        <f>'Matriz Riesgo y Op'!M48</f>
        <v>Confirmar que se lleve a cabo el control sobre las salidas de bienes del almacén del Sistema Integral para la Gestión Administrativa (SIGA).</v>
      </c>
      <c r="B49" s="216" t="str">
        <f>'Matriz Riesgo y Op'!C48</f>
        <v>Que el registro y la clasificación de los bienes no sea el adecuado</v>
      </c>
      <c r="C49" s="64"/>
      <c r="D49" s="64"/>
      <c r="E49" s="64"/>
      <c r="F49" s="64"/>
      <c r="G49" s="62"/>
      <c r="H49" s="63"/>
    </row>
    <row r="50" spans="1:8" ht="15.75" x14ac:dyDescent="0.2">
      <c r="A50" s="48">
        <f>'Matriz Riesgo y Op'!M49</f>
        <v>0</v>
      </c>
      <c r="B50" s="217"/>
      <c r="C50" s="64"/>
      <c r="D50" s="64"/>
      <c r="E50" s="64"/>
      <c r="F50" s="64"/>
      <c r="G50" s="62"/>
      <c r="H50" s="63"/>
    </row>
    <row r="51" spans="1:8" ht="15.75" x14ac:dyDescent="0.2">
      <c r="A51" s="48">
        <f>'Matriz Riesgo y Op'!M50</f>
        <v>0</v>
      </c>
      <c r="B51" s="217"/>
      <c r="C51" s="64"/>
      <c r="D51" s="64"/>
      <c r="E51" s="64"/>
      <c r="F51" s="64"/>
      <c r="G51" s="62"/>
      <c r="H51" s="63"/>
    </row>
    <row r="52" spans="1:8" ht="15.75" x14ac:dyDescent="0.2">
      <c r="A52" s="48">
        <f>'Matriz Riesgo y Op'!M51</f>
        <v>0</v>
      </c>
      <c r="B52" s="217"/>
      <c r="C52" s="38"/>
      <c r="D52" s="38"/>
      <c r="E52" s="38"/>
      <c r="F52" s="38"/>
      <c r="G52" s="39"/>
      <c r="H52" s="49"/>
    </row>
    <row r="53" spans="1:8" ht="15.75" x14ac:dyDescent="0.2">
      <c r="A53" s="48">
        <f>'Matriz Riesgo y Op'!M52</f>
        <v>0</v>
      </c>
      <c r="B53" s="218"/>
      <c r="C53" s="38"/>
      <c r="D53" s="38"/>
      <c r="E53" s="38"/>
      <c r="F53" s="38"/>
      <c r="G53" s="39"/>
      <c r="H53" s="49"/>
    </row>
    <row r="54" spans="1:8" ht="15" x14ac:dyDescent="0.2">
      <c r="A54" s="220"/>
      <c r="B54" s="221"/>
      <c r="C54" s="221"/>
      <c r="D54" s="221"/>
      <c r="E54" s="221"/>
      <c r="F54" s="221"/>
      <c r="G54" s="221"/>
      <c r="H54" s="222"/>
    </row>
    <row r="55" spans="1:8" ht="43.5" customHeight="1" x14ac:dyDescent="0.2">
      <c r="A55" s="227" t="s">
        <v>116</v>
      </c>
      <c r="B55" s="228"/>
      <c r="C55" s="38">
        <f>SUM(C9:C53)</f>
        <v>0</v>
      </c>
      <c r="D55" s="38">
        <f>SUM(D9:D53)</f>
        <v>0</v>
      </c>
      <c r="E55" s="38">
        <f>SUM(E9:E53)</f>
        <v>0</v>
      </c>
      <c r="F55" s="38">
        <f>SUM(F9:F53)</f>
        <v>0</v>
      </c>
      <c r="G55" s="224" t="s">
        <v>115</v>
      </c>
      <c r="H55" s="240" t="s">
        <v>114</v>
      </c>
    </row>
    <row r="56" spans="1:8" ht="39.75" customHeight="1" x14ac:dyDescent="0.2">
      <c r="A56" s="227" t="s">
        <v>113</v>
      </c>
      <c r="B56" s="228"/>
      <c r="C56" s="239">
        <f>SUM(C55:F55)</f>
        <v>0</v>
      </c>
      <c r="D56" s="239"/>
      <c r="E56" s="239"/>
      <c r="F56" s="239"/>
      <c r="G56" s="224"/>
      <c r="H56" s="240"/>
    </row>
    <row r="57" spans="1:8" ht="34.5" customHeight="1" x14ac:dyDescent="0.2">
      <c r="A57" s="227" t="s">
        <v>112</v>
      </c>
      <c r="B57" s="228"/>
      <c r="C57" s="238" t="s">
        <v>111</v>
      </c>
      <c r="D57" s="239"/>
      <c r="E57" s="239"/>
      <c r="F57" s="239"/>
      <c r="G57" s="221"/>
      <c r="H57" s="222"/>
    </row>
    <row r="58" spans="1:8" ht="39.75" customHeight="1" x14ac:dyDescent="0.2">
      <c r="A58" s="227" t="s">
        <v>110</v>
      </c>
      <c r="B58" s="228"/>
      <c r="C58" s="229" t="e">
        <f xml:space="preserve"> (C56/C57)*100%</f>
        <v>#VALUE!</v>
      </c>
      <c r="D58" s="230"/>
      <c r="E58" s="230"/>
      <c r="F58" s="230"/>
      <c r="G58" s="231" t="s">
        <v>109</v>
      </c>
      <c r="H58" s="232"/>
    </row>
    <row r="59" spans="1:8" ht="15.75" thickBot="1" x14ac:dyDescent="0.25">
      <c r="A59" s="233"/>
      <c r="B59" s="234"/>
      <c r="C59" s="234"/>
      <c r="D59" s="234"/>
      <c r="E59" s="234"/>
      <c r="F59" s="234"/>
      <c r="G59" s="234"/>
      <c r="H59" s="235"/>
    </row>
    <row r="60" spans="1:8" ht="15.75" thickTop="1" thickBot="1" x14ac:dyDescent="0.25">
      <c r="A60" s="45"/>
      <c r="B60" s="36"/>
      <c r="C60" s="36"/>
      <c r="D60" s="36"/>
      <c r="E60" s="36"/>
      <c r="F60" s="36"/>
      <c r="G60" s="36"/>
      <c r="H60" s="46"/>
    </row>
    <row r="61" spans="1:8" ht="17.25" customHeight="1" thickBot="1" x14ac:dyDescent="0.25">
      <c r="A61" s="226" t="s">
        <v>104</v>
      </c>
      <c r="B61" s="226"/>
      <c r="C61" s="226"/>
      <c r="D61" s="226"/>
      <c r="E61" s="226"/>
      <c r="F61" s="43"/>
      <c r="G61" s="236" t="s">
        <v>108</v>
      </c>
      <c r="H61" s="237"/>
    </row>
    <row r="62" spans="1:8" ht="39.950000000000003" customHeight="1" thickBot="1" x14ac:dyDescent="0.25">
      <c r="A62" s="56" t="s">
        <v>99</v>
      </c>
      <c r="B62" s="225" t="s">
        <v>103</v>
      </c>
      <c r="C62" s="225"/>
      <c r="D62" s="225"/>
      <c r="E62" s="225"/>
      <c r="F62" s="9"/>
      <c r="G62" s="44" t="s">
        <v>107</v>
      </c>
      <c r="H62" s="50" t="s">
        <v>12</v>
      </c>
    </row>
    <row r="63" spans="1:8" ht="39.950000000000003" customHeight="1" thickBot="1" x14ac:dyDescent="0.25">
      <c r="A63" s="57" t="s">
        <v>98</v>
      </c>
      <c r="B63" s="225" t="s">
        <v>102</v>
      </c>
      <c r="C63" s="225"/>
      <c r="D63" s="225"/>
      <c r="E63" s="225"/>
      <c r="F63" s="9"/>
      <c r="G63" s="44" t="s">
        <v>106</v>
      </c>
      <c r="H63" s="51" t="s">
        <v>15</v>
      </c>
    </row>
    <row r="64" spans="1:8" ht="39.950000000000003" customHeight="1" thickBot="1" x14ac:dyDescent="0.25">
      <c r="A64" s="58" t="s">
        <v>96</v>
      </c>
      <c r="B64" s="225" t="s">
        <v>101</v>
      </c>
      <c r="C64" s="225"/>
      <c r="D64" s="225"/>
      <c r="E64" s="225"/>
      <c r="F64" s="9"/>
      <c r="G64" s="44" t="s">
        <v>105</v>
      </c>
      <c r="H64" s="52" t="s">
        <v>16</v>
      </c>
    </row>
    <row r="65" spans="1:8" ht="15" x14ac:dyDescent="0.2">
      <c r="A65" s="59"/>
      <c r="B65" s="60"/>
      <c r="C65" s="60"/>
      <c r="D65" s="60"/>
      <c r="E65" s="37"/>
      <c r="F65" s="36"/>
      <c r="G65" s="36"/>
      <c r="H65" s="46"/>
    </row>
    <row r="66" spans="1:8" ht="18" customHeight="1" x14ac:dyDescent="0.2">
      <c r="A66" s="53"/>
      <c r="B66" s="54"/>
      <c r="C66" s="54"/>
      <c r="D66" s="54"/>
      <c r="E66" s="54"/>
      <c r="F66" s="54"/>
      <c r="G66" s="54"/>
      <c r="H66" s="55"/>
    </row>
    <row r="67" spans="1:8" ht="15" x14ac:dyDescent="0.2">
      <c r="C67" s="35"/>
      <c r="D67" s="34"/>
      <c r="E67" s="34"/>
      <c r="F67" s="34"/>
      <c r="G67" s="34"/>
      <c r="H67" s="34"/>
    </row>
    <row r="69" spans="1:8" ht="29.25" customHeight="1" x14ac:dyDescent="0.2"/>
    <row r="70" spans="1:8" ht="40.5" customHeight="1" x14ac:dyDescent="0.2"/>
    <row r="71" spans="1:8" ht="40.5" customHeight="1" x14ac:dyDescent="0.2"/>
  </sheetData>
  <mergeCells count="42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55:B55"/>
    <mergeCell ref="G55:G56"/>
    <mergeCell ref="H55:H56"/>
    <mergeCell ref="A56:B56"/>
    <mergeCell ref="C56:F56"/>
    <mergeCell ref="G58:H58"/>
    <mergeCell ref="A59:H59"/>
    <mergeCell ref="G61:H61"/>
    <mergeCell ref="A57:B57"/>
    <mergeCell ref="C57:F57"/>
    <mergeCell ref="G57:H57"/>
    <mergeCell ref="B62:E62"/>
    <mergeCell ref="B63:E63"/>
    <mergeCell ref="B64:E64"/>
    <mergeCell ref="A61:E61"/>
    <mergeCell ref="A58:B58"/>
    <mergeCell ref="C58:F58"/>
    <mergeCell ref="B9:B13"/>
    <mergeCell ref="B14:B18"/>
    <mergeCell ref="B49:B53"/>
    <mergeCell ref="H7:H8"/>
    <mergeCell ref="A54:H54"/>
    <mergeCell ref="A7:A8"/>
    <mergeCell ref="B7:B8"/>
    <mergeCell ref="C7:F7"/>
    <mergeCell ref="G7:G8"/>
    <mergeCell ref="B19:B23"/>
    <mergeCell ref="B24:B28"/>
    <mergeCell ref="B29:B33"/>
    <mergeCell ref="B34:B38"/>
    <mergeCell ref="B39:B43"/>
    <mergeCell ref="B44:B48"/>
  </mergeCells>
  <conditionalFormatting sqref="C58:F5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showGridLines="0" view="pageBreakPreview" zoomScale="80" zoomScaleSheetLayoutView="80" workbookViewId="0">
      <selection activeCell="B64" sqref="B64:E64"/>
    </sheetView>
  </sheetViews>
  <sheetFormatPr baseColWidth="10" defaultColWidth="11.42578125" defaultRowHeight="14.25" x14ac:dyDescent="0.2"/>
  <cols>
    <col min="1" max="1" width="15.85546875" style="33" customWidth="1"/>
    <col min="2" max="2" width="21.5703125" style="33" customWidth="1"/>
    <col min="3" max="6" width="15.570312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49"/>
      <c r="B1" s="249"/>
      <c r="C1" s="244" t="s">
        <v>165</v>
      </c>
      <c r="D1" s="244"/>
      <c r="E1" s="244"/>
      <c r="F1" s="244"/>
      <c r="G1" s="249" t="s">
        <v>146</v>
      </c>
      <c r="H1" s="249"/>
    </row>
    <row r="2" spans="1:8" ht="30" customHeight="1" x14ac:dyDescent="0.2">
      <c r="A2" s="249"/>
      <c r="B2" s="249"/>
      <c r="C2" s="245" t="s">
        <v>164</v>
      </c>
      <c r="D2" s="245"/>
      <c r="E2" s="245"/>
      <c r="F2" s="245"/>
      <c r="G2" s="252" t="s">
        <v>148</v>
      </c>
      <c r="H2" s="252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50"/>
      <c r="E4" s="250"/>
      <c r="F4" s="41" t="s">
        <v>121</v>
      </c>
      <c r="G4" s="250"/>
      <c r="H4" s="251"/>
    </row>
    <row r="5" spans="1:8" ht="15.75" customHeight="1" x14ac:dyDescent="0.25">
      <c r="A5" s="253" t="s">
        <v>120</v>
      </c>
      <c r="B5" s="254"/>
      <c r="C5" s="254"/>
      <c r="D5" s="246"/>
      <c r="E5" s="247"/>
      <c r="F5" s="247"/>
      <c r="G5" s="247"/>
      <c r="H5" s="248"/>
    </row>
    <row r="6" spans="1:8" ht="15.75" customHeight="1" x14ac:dyDescent="0.2">
      <c r="A6" s="241"/>
      <c r="B6" s="242"/>
      <c r="C6" s="242"/>
      <c r="D6" s="242"/>
      <c r="E6" s="242"/>
      <c r="F6" s="242"/>
      <c r="G6" s="242"/>
      <c r="H6" s="243"/>
    </row>
    <row r="7" spans="1:8" ht="15" x14ac:dyDescent="0.2">
      <c r="A7" s="223" t="s">
        <v>124</v>
      </c>
      <c r="B7" s="224" t="s">
        <v>129</v>
      </c>
      <c r="C7" s="224" t="s">
        <v>119</v>
      </c>
      <c r="D7" s="224"/>
      <c r="E7" s="224"/>
      <c r="F7" s="224"/>
      <c r="G7" s="224" t="s">
        <v>118</v>
      </c>
      <c r="H7" s="219" t="s">
        <v>117</v>
      </c>
    </row>
    <row r="8" spans="1:8" ht="15" x14ac:dyDescent="0.2">
      <c r="A8" s="223"/>
      <c r="B8" s="224"/>
      <c r="C8" s="65">
        <v>1</v>
      </c>
      <c r="D8" s="65">
        <v>2</v>
      </c>
      <c r="E8" s="65">
        <v>3</v>
      </c>
      <c r="F8" s="65">
        <v>4</v>
      </c>
      <c r="G8" s="224"/>
      <c r="H8" s="219"/>
    </row>
    <row r="9" spans="1:8" ht="157.5" x14ac:dyDescent="0.2">
      <c r="A9" s="48" t="str">
        <f>'Matriz Riesgo y Op'!M57</f>
        <v>Asegurar que el requerimiento sea solicitado a través del formato de "Requisición del bien y servicio".</v>
      </c>
      <c r="B9" s="216" t="str">
        <f>'Matriz Riesgo y Op'!C57</f>
        <v>Detallar de manera más precisa las características técnicas del bien, con la mayor parte de datos e incluso presentar una muestra tangible por un proveedor específico</v>
      </c>
      <c r="C9" s="64"/>
      <c r="D9" s="64"/>
      <c r="E9" s="64"/>
      <c r="F9" s="64"/>
      <c r="G9" s="62"/>
      <c r="H9" s="63"/>
    </row>
    <row r="10" spans="1:8" ht="346.5" x14ac:dyDescent="0.2">
      <c r="A10" s="48" t="str">
        <f>'Matriz Riesgo y Op'!M58</f>
        <v>Asegurar que el  área requirente conozca el beneficio de tener una muestra del bien, en los casos que sea posible (por los tiempos y posibilidades del Proveedor), en el momento que entrega la "Requisición del bien y servicio".</v>
      </c>
      <c r="B10" s="217"/>
      <c r="C10" s="64"/>
      <c r="D10" s="64"/>
      <c r="E10" s="64"/>
      <c r="F10" s="64"/>
      <c r="G10" s="62"/>
      <c r="H10" s="63"/>
    </row>
    <row r="11" spans="1:8" ht="15.75" x14ac:dyDescent="0.2">
      <c r="A11" s="48">
        <f>'Matriz Riesgo y Op'!M59</f>
        <v>0</v>
      </c>
      <c r="B11" s="217"/>
      <c r="C11" s="64"/>
      <c r="D11" s="64"/>
      <c r="E11" s="64"/>
      <c r="F11" s="64"/>
      <c r="G11" s="62"/>
      <c r="H11" s="63"/>
    </row>
    <row r="12" spans="1:8" ht="15.75" x14ac:dyDescent="0.2">
      <c r="A12" s="48">
        <f>'Matriz Riesgo y Op'!M60</f>
        <v>0</v>
      </c>
      <c r="B12" s="217"/>
      <c r="C12" s="64"/>
      <c r="D12" s="64"/>
      <c r="E12" s="64"/>
      <c r="F12" s="64"/>
      <c r="G12" s="62"/>
      <c r="H12" s="63"/>
    </row>
    <row r="13" spans="1:8" ht="15.75" x14ac:dyDescent="0.2">
      <c r="A13" s="48">
        <f>'Matriz Riesgo y Op'!M61</f>
        <v>0</v>
      </c>
      <c r="B13" s="218"/>
      <c r="C13" s="64"/>
      <c r="D13" s="64"/>
      <c r="E13" s="64"/>
      <c r="F13" s="64"/>
      <c r="G13" s="62"/>
      <c r="H13" s="63"/>
    </row>
    <row r="14" spans="1:8" ht="204.75" x14ac:dyDescent="0.2">
      <c r="A14" s="48" t="str">
        <f>'Matriz Riesgo y Op'!M62</f>
        <v>Asegurar que la "Requisición del bien y servicio" sea entregada en los tiempos establecidos por la Coordinación Administrativa.</v>
      </c>
      <c r="B14" s="216" t="str">
        <f>'Matriz Riesgo y Op'!C62</f>
        <v>Asegurar que la información requisitada sea correcta</v>
      </c>
      <c r="C14" s="64"/>
      <c r="D14" s="64"/>
      <c r="E14" s="64"/>
      <c r="F14" s="64"/>
      <c r="G14" s="62"/>
      <c r="H14" s="63"/>
    </row>
    <row r="15" spans="1:8" ht="157.5" x14ac:dyDescent="0.2">
      <c r="A15" s="48" t="str">
        <f>'Matriz Riesgo y Op'!M63</f>
        <v>Asegurar que el requerimiento sea solicitado a través del formato de "Requisición del bien y servicio".</v>
      </c>
      <c r="B15" s="217"/>
      <c r="C15" s="64"/>
      <c r="D15" s="64"/>
      <c r="E15" s="64"/>
      <c r="F15" s="64"/>
      <c r="G15" s="62"/>
      <c r="H15" s="63"/>
    </row>
    <row r="16" spans="1:8" ht="15.75" x14ac:dyDescent="0.2">
      <c r="A16" s="48">
        <f>'Matriz Riesgo y Op'!M64</f>
        <v>0</v>
      </c>
      <c r="B16" s="217"/>
      <c r="C16" s="64"/>
      <c r="D16" s="64"/>
      <c r="E16" s="64"/>
      <c r="F16" s="64"/>
      <c r="G16" s="62"/>
      <c r="H16" s="63"/>
    </row>
    <row r="17" spans="1:8" ht="15.75" x14ac:dyDescent="0.2">
      <c r="A17" s="48">
        <f>'Matriz Riesgo y Op'!M65</f>
        <v>0</v>
      </c>
      <c r="B17" s="217"/>
      <c r="C17" s="64"/>
      <c r="D17" s="64"/>
      <c r="E17" s="64"/>
      <c r="F17" s="64"/>
      <c r="G17" s="62"/>
      <c r="H17" s="63"/>
    </row>
    <row r="18" spans="1:8" ht="15.75" x14ac:dyDescent="0.2">
      <c r="A18" s="48">
        <f>'Matriz Riesgo y Op'!M66</f>
        <v>0</v>
      </c>
      <c r="B18" s="218"/>
      <c r="C18" s="64"/>
      <c r="D18" s="64"/>
      <c r="E18" s="64"/>
      <c r="F18" s="64"/>
      <c r="G18" s="62"/>
      <c r="H18" s="63"/>
    </row>
    <row r="19" spans="1:8" ht="189" x14ac:dyDescent="0.2">
      <c r="A19" s="48" t="str">
        <f>'Matriz Riesgo y Op'!M67</f>
        <v>Seguimiento a la disposición de  recursos de la carpeta financiera con el fin de asegurar que se realiza la compra en los tiempos establecidos.</v>
      </c>
      <c r="B19" s="216" t="str">
        <f>'Matriz Riesgo y Op'!C67</f>
        <v>Monitorear y comparar con carpeta financiera la ministración de recursos en bancos, para de manera inmediata realizar el proceso de compra</v>
      </c>
      <c r="C19" s="97"/>
      <c r="D19" s="97"/>
      <c r="E19" s="97"/>
      <c r="F19" s="97"/>
      <c r="G19" s="98"/>
      <c r="H19" s="99"/>
    </row>
    <row r="20" spans="1:8" ht="15.75" x14ac:dyDescent="0.2">
      <c r="A20" s="48">
        <f>'Matriz Riesgo y Op'!M68</f>
        <v>0</v>
      </c>
      <c r="B20" s="217"/>
      <c r="C20" s="97"/>
      <c r="D20" s="97"/>
      <c r="E20" s="97"/>
      <c r="F20" s="97"/>
      <c r="G20" s="98"/>
      <c r="H20" s="99"/>
    </row>
    <row r="21" spans="1:8" ht="15.75" x14ac:dyDescent="0.2">
      <c r="A21" s="48">
        <f>'Matriz Riesgo y Op'!M69</f>
        <v>0</v>
      </c>
      <c r="B21" s="217"/>
      <c r="C21" s="97"/>
      <c r="D21" s="97"/>
      <c r="E21" s="97"/>
      <c r="F21" s="97"/>
      <c r="G21" s="98"/>
      <c r="H21" s="99"/>
    </row>
    <row r="22" spans="1:8" ht="15.75" x14ac:dyDescent="0.2">
      <c r="A22" s="48">
        <f>'Matriz Riesgo y Op'!M70</f>
        <v>0</v>
      </c>
      <c r="B22" s="217"/>
      <c r="C22" s="97"/>
      <c r="D22" s="97"/>
      <c r="E22" s="97"/>
      <c r="F22" s="97"/>
      <c r="G22" s="98"/>
      <c r="H22" s="99"/>
    </row>
    <row r="23" spans="1:8" ht="15.75" x14ac:dyDescent="0.2">
      <c r="A23" s="48">
        <f>'Matriz Riesgo y Op'!M71</f>
        <v>0</v>
      </c>
      <c r="B23" s="218"/>
      <c r="C23" s="97"/>
      <c r="D23" s="97"/>
      <c r="E23" s="97"/>
      <c r="F23" s="97"/>
      <c r="G23" s="98"/>
      <c r="H23" s="99"/>
    </row>
    <row r="24" spans="1:8" ht="110.25" x14ac:dyDescent="0.2">
      <c r="A24" s="48" t="str">
        <f>'Matriz Riesgo y Op'!M72</f>
        <v>Entregar  al comprador las cotizaciones que cumplen con lo requerido.</v>
      </c>
      <c r="B24" s="216" t="str">
        <f>'Matriz Riesgo y Op'!C72</f>
        <v>Privilegiar el acudir en sitio con el proveedor a solicitar las cotizaciones correspondientes del bien a adquirir</v>
      </c>
      <c r="C24" s="97"/>
      <c r="D24" s="97"/>
      <c r="E24" s="97"/>
      <c r="F24" s="97"/>
      <c r="G24" s="98"/>
      <c r="H24" s="99"/>
    </row>
    <row r="25" spans="1:8" ht="15.75" x14ac:dyDescent="0.2">
      <c r="A25" s="48">
        <f>'Matriz Riesgo y Op'!M73</f>
        <v>0</v>
      </c>
      <c r="B25" s="217"/>
      <c r="C25" s="97"/>
      <c r="D25" s="97"/>
      <c r="E25" s="97"/>
      <c r="F25" s="97"/>
      <c r="G25" s="98"/>
      <c r="H25" s="99"/>
    </row>
    <row r="26" spans="1:8" ht="15.75" x14ac:dyDescent="0.2">
      <c r="A26" s="48">
        <f>'Matriz Riesgo y Op'!M74</f>
        <v>0</v>
      </c>
      <c r="B26" s="217"/>
      <c r="C26" s="97"/>
      <c r="D26" s="97"/>
      <c r="E26" s="97"/>
      <c r="F26" s="97"/>
      <c r="G26" s="98"/>
      <c r="H26" s="99"/>
    </row>
    <row r="27" spans="1:8" ht="15.75" x14ac:dyDescent="0.2">
      <c r="A27" s="48">
        <f>'Matriz Riesgo y Op'!M75</f>
        <v>0</v>
      </c>
      <c r="B27" s="217"/>
      <c r="C27" s="97"/>
      <c r="D27" s="97"/>
      <c r="E27" s="97"/>
      <c r="F27" s="97"/>
      <c r="G27" s="98"/>
      <c r="H27" s="99"/>
    </row>
    <row r="28" spans="1:8" ht="15.75" x14ac:dyDescent="0.2">
      <c r="A28" s="48">
        <f>'Matriz Riesgo y Op'!M76</f>
        <v>0</v>
      </c>
      <c r="B28" s="218"/>
      <c r="C28" s="97"/>
      <c r="D28" s="97"/>
      <c r="E28" s="97"/>
      <c r="F28" s="97"/>
      <c r="G28" s="98"/>
      <c r="H28" s="99"/>
    </row>
    <row r="29" spans="1:8" ht="189" x14ac:dyDescent="0.2">
      <c r="A29" s="48" t="str">
        <f>'Matriz Riesgo y Op'!M77</f>
        <v>Garantizar el llenado del cuadro comparativo, a fin de concentrar toda la información necesaria para facilitar  su autorización.</v>
      </c>
      <c r="B29" s="216" t="str">
        <f>'Matriz Riesgo y Op'!C77</f>
        <v>Contar con un catalogo de proveedores diferenciado por bien o servicio para la adquisición de manera eficaz</v>
      </c>
      <c r="C29" s="97"/>
      <c r="D29" s="97"/>
      <c r="E29" s="97"/>
      <c r="F29" s="97"/>
      <c r="G29" s="98"/>
      <c r="H29" s="99"/>
    </row>
    <row r="30" spans="1:8" ht="47.25" x14ac:dyDescent="0.2">
      <c r="A30" s="48" t="str">
        <f>'Matriz Riesgo y Op'!M78</f>
        <v>Elaborar el Catálogo de proveedores.</v>
      </c>
      <c r="B30" s="217"/>
      <c r="C30" s="97"/>
      <c r="D30" s="97"/>
      <c r="E30" s="97"/>
      <c r="F30" s="97"/>
      <c r="G30" s="98"/>
      <c r="H30" s="99"/>
    </row>
    <row r="31" spans="1:8" ht="15.75" x14ac:dyDescent="0.2">
      <c r="A31" s="48">
        <f>'Matriz Riesgo y Op'!M79</f>
        <v>0</v>
      </c>
      <c r="B31" s="217"/>
      <c r="C31" s="97"/>
      <c r="D31" s="97"/>
      <c r="E31" s="97"/>
      <c r="F31" s="97"/>
      <c r="G31" s="98"/>
      <c r="H31" s="99"/>
    </row>
    <row r="32" spans="1:8" ht="15.75" x14ac:dyDescent="0.2">
      <c r="A32" s="48">
        <f>'Matriz Riesgo y Op'!M80</f>
        <v>0</v>
      </c>
      <c r="B32" s="217"/>
      <c r="C32" s="97"/>
      <c r="D32" s="97"/>
      <c r="E32" s="97"/>
      <c r="F32" s="97"/>
      <c r="G32" s="98"/>
      <c r="H32" s="99"/>
    </row>
    <row r="33" spans="1:8" ht="15.75" x14ac:dyDescent="0.2">
      <c r="A33" s="48">
        <f>'Matriz Riesgo y Op'!M81</f>
        <v>0</v>
      </c>
      <c r="B33" s="218"/>
      <c r="C33" s="97"/>
      <c r="D33" s="97"/>
      <c r="E33" s="97"/>
      <c r="F33" s="97"/>
      <c r="G33" s="98"/>
      <c r="H33" s="99"/>
    </row>
    <row r="34" spans="1:8" ht="110.25" x14ac:dyDescent="0.2">
      <c r="A34" s="48" t="str">
        <f>'Matriz Riesgo y Op'!M82</f>
        <v>Asegurar que el tipo de adjudicación es la correcta a través de una revisión documental.</v>
      </c>
      <c r="B34" s="216" t="str">
        <f>'Matriz Riesgo y Op'!C82</f>
        <v>Generar el expediente del bien a adquirir conforme a los montos de autorizados, detallando la normatividad aplicable que permita clasificar las compras</v>
      </c>
      <c r="C34" s="97"/>
      <c r="D34" s="97"/>
      <c r="E34" s="97"/>
      <c r="F34" s="97"/>
      <c r="G34" s="98"/>
      <c r="H34" s="99"/>
    </row>
    <row r="35" spans="1:8" ht="15.75" x14ac:dyDescent="0.2">
      <c r="A35" s="48">
        <f>'Matriz Riesgo y Op'!M83</f>
        <v>0</v>
      </c>
      <c r="B35" s="217"/>
      <c r="C35" s="97"/>
      <c r="D35" s="97"/>
      <c r="E35" s="97"/>
      <c r="F35" s="97"/>
      <c r="G35" s="98"/>
      <c r="H35" s="99"/>
    </row>
    <row r="36" spans="1:8" ht="15.75" x14ac:dyDescent="0.2">
      <c r="A36" s="48">
        <f>'Matriz Riesgo y Op'!M84</f>
        <v>0</v>
      </c>
      <c r="B36" s="217"/>
      <c r="C36" s="97"/>
      <c r="D36" s="97"/>
      <c r="E36" s="97"/>
      <c r="F36" s="97"/>
      <c r="G36" s="98"/>
      <c r="H36" s="99"/>
    </row>
    <row r="37" spans="1:8" ht="15.75" x14ac:dyDescent="0.2">
      <c r="A37" s="48">
        <f>'Matriz Riesgo y Op'!M85</f>
        <v>0</v>
      </c>
      <c r="B37" s="217"/>
      <c r="C37" s="97"/>
      <c r="D37" s="97"/>
      <c r="E37" s="97"/>
      <c r="F37" s="97"/>
      <c r="G37" s="98"/>
      <c r="H37" s="99"/>
    </row>
    <row r="38" spans="1:8" ht="15.75" x14ac:dyDescent="0.2">
      <c r="A38" s="48">
        <f>'Matriz Riesgo y Op'!M86</f>
        <v>0</v>
      </c>
      <c r="B38" s="218"/>
      <c r="C38" s="97"/>
      <c r="D38" s="97"/>
      <c r="E38" s="97"/>
      <c r="F38" s="97"/>
      <c r="G38" s="98"/>
      <c r="H38" s="99"/>
    </row>
    <row r="39" spans="1:8" ht="189" x14ac:dyDescent="0.2">
      <c r="A39" s="48" t="str">
        <f>'Matriz Riesgo y Op'!M87</f>
        <v>Garantizar que la "Requisición del bien y servicio", se presenta con toda la información adicional establecida para su autorización.</v>
      </c>
      <c r="B39" s="216" t="str">
        <f>'Matriz Riesgo y Op'!C87</f>
        <v>Presentar la solicitud del bien o servicio con toda la documentación necesaria para su autorización</v>
      </c>
      <c r="C39" s="102"/>
      <c r="D39" s="102"/>
      <c r="E39" s="102"/>
      <c r="F39" s="102"/>
      <c r="G39" s="100"/>
      <c r="H39" s="101"/>
    </row>
    <row r="40" spans="1:8" ht="15.75" x14ac:dyDescent="0.2">
      <c r="A40" s="48">
        <f>'Matriz Riesgo y Op'!M88</f>
        <v>0</v>
      </c>
      <c r="B40" s="217"/>
      <c r="C40" s="102"/>
      <c r="D40" s="102"/>
      <c r="E40" s="102"/>
      <c r="F40" s="102"/>
      <c r="G40" s="100"/>
      <c r="H40" s="101"/>
    </row>
    <row r="41" spans="1:8" ht="15.75" x14ac:dyDescent="0.2">
      <c r="A41" s="48">
        <f>'Matriz Riesgo y Op'!M89</f>
        <v>0</v>
      </c>
      <c r="B41" s="217"/>
      <c r="C41" s="102"/>
      <c r="D41" s="102"/>
      <c r="E41" s="102"/>
      <c r="F41" s="102"/>
      <c r="G41" s="100"/>
      <c r="H41" s="101"/>
    </row>
    <row r="42" spans="1:8" ht="15.75" x14ac:dyDescent="0.2">
      <c r="A42" s="48">
        <f>'Matriz Riesgo y Op'!M90</f>
        <v>0</v>
      </c>
      <c r="B42" s="217"/>
      <c r="C42" s="102"/>
      <c r="D42" s="102"/>
      <c r="E42" s="102"/>
      <c r="F42" s="102"/>
      <c r="G42" s="100"/>
      <c r="H42" s="101"/>
    </row>
    <row r="43" spans="1:8" ht="15.75" x14ac:dyDescent="0.2">
      <c r="A43" s="48">
        <f>'Matriz Riesgo y Op'!M91</f>
        <v>0</v>
      </c>
      <c r="B43" s="218"/>
      <c r="C43" s="102"/>
      <c r="D43" s="102"/>
      <c r="E43" s="102"/>
      <c r="F43" s="102"/>
      <c r="G43" s="100"/>
      <c r="H43" s="101"/>
    </row>
    <row r="44" spans="1:8" ht="173.25" x14ac:dyDescent="0.2">
      <c r="A44" s="48" t="str">
        <f>'Matriz Riesgo y Op'!M92</f>
        <v>Asegurar contactar (vía telefónica o visita en sus instalaciones) para reconfirmar al Proveedor fue adjudicado.</v>
      </c>
      <c r="B44" s="216" t="str">
        <f>'Matriz Riesgo y Op'!C92</f>
        <v>Contactar al Proveedor para reconfirmar la adjudicación</v>
      </c>
      <c r="C44" s="102"/>
      <c r="D44" s="102"/>
      <c r="E44" s="102"/>
      <c r="F44" s="102"/>
      <c r="G44" s="100"/>
      <c r="H44" s="101"/>
    </row>
    <row r="45" spans="1:8" ht="15.75" x14ac:dyDescent="0.2">
      <c r="A45" s="48">
        <f>'Matriz Riesgo y Op'!M93</f>
        <v>0</v>
      </c>
      <c r="B45" s="217"/>
      <c r="C45" s="102"/>
      <c r="D45" s="102"/>
      <c r="E45" s="102"/>
      <c r="F45" s="102"/>
      <c r="G45" s="100"/>
      <c r="H45" s="101"/>
    </row>
    <row r="46" spans="1:8" ht="15.75" x14ac:dyDescent="0.2">
      <c r="A46" s="48">
        <f>'Matriz Riesgo y Op'!M94</f>
        <v>0</v>
      </c>
      <c r="B46" s="217"/>
      <c r="C46" s="102"/>
      <c r="D46" s="102"/>
      <c r="E46" s="102"/>
      <c r="F46" s="102"/>
      <c r="G46" s="100"/>
      <c r="H46" s="101"/>
    </row>
    <row r="47" spans="1:8" ht="15.75" x14ac:dyDescent="0.2">
      <c r="A47" s="48">
        <f>'Matriz Riesgo y Op'!M95</f>
        <v>0</v>
      </c>
      <c r="B47" s="217"/>
      <c r="C47" s="102"/>
      <c r="D47" s="102"/>
      <c r="E47" s="102"/>
      <c r="F47" s="102"/>
      <c r="G47" s="100"/>
      <c r="H47" s="101"/>
    </row>
    <row r="48" spans="1:8" ht="15.75" x14ac:dyDescent="0.2">
      <c r="A48" s="48">
        <f>'Matriz Riesgo y Op'!M96</f>
        <v>0</v>
      </c>
      <c r="B48" s="218"/>
      <c r="C48" s="102"/>
      <c r="D48" s="102"/>
      <c r="E48" s="102"/>
      <c r="F48" s="102"/>
      <c r="G48" s="100"/>
      <c r="H48" s="101"/>
    </row>
    <row r="49" spans="1:8" ht="173.25" x14ac:dyDescent="0.2">
      <c r="A49" s="48" t="str">
        <f>'Matriz Riesgo y Op'!M97</f>
        <v>Asegurar la correcta salida del almacén del bien solicitado en el Sistema Integral para la Gestión Administrativa (SIGA).</v>
      </c>
      <c r="B49" s="216" t="str">
        <f>'Matriz Riesgo y Op'!C97</f>
        <v>Optimizar el control de entradas y salidas dentro del almacén Institucional</v>
      </c>
      <c r="C49" s="97"/>
      <c r="D49" s="97"/>
      <c r="E49" s="97"/>
      <c r="F49" s="97"/>
      <c r="G49" s="98"/>
      <c r="H49" s="99"/>
    </row>
    <row r="50" spans="1:8" ht="15.75" x14ac:dyDescent="0.2">
      <c r="A50" s="48">
        <f>'Matriz Riesgo y Op'!M98</f>
        <v>0</v>
      </c>
      <c r="B50" s="217"/>
      <c r="C50" s="97"/>
      <c r="D50" s="97"/>
      <c r="E50" s="97"/>
      <c r="F50" s="97"/>
      <c r="G50" s="98"/>
      <c r="H50" s="99"/>
    </row>
    <row r="51" spans="1:8" ht="15.75" x14ac:dyDescent="0.2">
      <c r="A51" s="48">
        <f>'Matriz Riesgo y Op'!M99</f>
        <v>0</v>
      </c>
      <c r="B51" s="217"/>
      <c r="C51" s="97"/>
      <c r="D51" s="97"/>
      <c r="E51" s="97"/>
      <c r="F51" s="97"/>
      <c r="G51" s="98"/>
      <c r="H51" s="99"/>
    </row>
    <row r="52" spans="1:8" ht="15.75" x14ac:dyDescent="0.2">
      <c r="A52" s="48">
        <f>'Matriz Riesgo y Op'!M100</f>
        <v>0</v>
      </c>
      <c r="B52" s="217"/>
      <c r="C52" s="97"/>
      <c r="D52" s="97"/>
      <c r="E52" s="97"/>
      <c r="F52" s="97"/>
      <c r="G52" s="98"/>
      <c r="H52" s="99"/>
    </row>
    <row r="53" spans="1:8" ht="15.75" x14ac:dyDescent="0.2">
      <c r="A53" s="48">
        <f>'Matriz Riesgo y Op'!M101</f>
        <v>0</v>
      </c>
      <c r="B53" s="218"/>
      <c r="C53" s="97"/>
      <c r="D53" s="97"/>
      <c r="E53" s="97"/>
      <c r="F53" s="97"/>
      <c r="G53" s="98"/>
      <c r="H53" s="99"/>
    </row>
    <row r="54" spans="1:8" ht="15" x14ac:dyDescent="0.2">
      <c r="A54" s="220"/>
      <c r="B54" s="221"/>
      <c r="C54" s="221"/>
      <c r="D54" s="221"/>
      <c r="E54" s="221"/>
      <c r="F54" s="221"/>
      <c r="G54" s="221"/>
      <c r="H54" s="222"/>
    </row>
    <row r="55" spans="1:8" ht="43.5" customHeight="1" x14ac:dyDescent="0.2">
      <c r="A55" s="227" t="s">
        <v>116</v>
      </c>
      <c r="B55" s="228"/>
      <c r="C55" s="64">
        <f>SUM(C9:C53)</f>
        <v>0</v>
      </c>
      <c r="D55" s="64">
        <f>SUM(D9:D53)</f>
        <v>0</v>
      </c>
      <c r="E55" s="64">
        <f>SUM(E9:E53)</f>
        <v>0</v>
      </c>
      <c r="F55" s="64">
        <f>SUM(F9:F53)</f>
        <v>0</v>
      </c>
      <c r="G55" s="224" t="s">
        <v>115</v>
      </c>
      <c r="H55" s="240" t="s">
        <v>114</v>
      </c>
    </row>
    <row r="56" spans="1:8" ht="39.75" customHeight="1" x14ac:dyDescent="0.2">
      <c r="A56" s="227" t="s">
        <v>113</v>
      </c>
      <c r="B56" s="228"/>
      <c r="C56" s="239">
        <f>SUM(C55:F55)</f>
        <v>0</v>
      </c>
      <c r="D56" s="239"/>
      <c r="E56" s="239"/>
      <c r="F56" s="239"/>
      <c r="G56" s="224"/>
      <c r="H56" s="240"/>
    </row>
    <row r="57" spans="1:8" ht="34.5" customHeight="1" x14ac:dyDescent="0.2">
      <c r="A57" s="227" t="s">
        <v>112</v>
      </c>
      <c r="B57" s="228"/>
      <c r="C57" s="238" t="s">
        <v>111</v>
      </c>
      <c r="D57" s="239"/>
      <c r="E57" s="239"/>
      <c r="F57" s="239"/>
      <c r="G57" s="221"/>
      <c r="H57" s="222"/>
    </row>
    <row r="58" spans="1:8" ht="39.75" customHeight="1" x14ac:dyDescent="0.2">
      <c r="A58" s="227" t="s">
        <v>110</v>
      </c>
      <c r="B58" s="228"/>
      <c r="C58" s="229" t="e">
        <f xml:space="preserve"> (C56/C57)*100%</f>
        <v>#VALUE!</v>
      </c>
      <c r="D58" s="230"/>
      <c r="E58" s="230"/>
      <c r="F58" s="230"/>
      <c r="G58" s="231" t="s">
        <v>109</v>
      </c>
      <c r="H58" s="232"/>
    </row>
    <row r="59" spans="1:8" ht="15.75" thickBot="1" x14ac:dyDescent="0.25">
      <c r="A59" s="233"/>
      <c r="B59" s="234"/>
      <c r="C59" s="234"/>
      <c r="D59" s="234"/>
      <c r="E59" s="234"/>
      <c r="F59" s="234"/>
      <c r="G59" s="234"/>
      <c r="H59" s="235"/>
    </row>
    <row r="60" spans="1:8" ht="15.75" thickTop="1" thickBot="1" x14ac:dyDescent="0.25">
      <c r="A60" s="45"/>
      <c r="B60" s="36"/>
      <c r="C60" s="36"/>
      <c r="D60" s="36"/>
      <c r="E60" s="36"/>
      <c r="F60" s="36"/>
      <c r="G60" s="36"/>
      <c r="H60" s="46"/>
    </row>
    <row r="61" spans="1:8" ht="17.25" customHeight="1" thickBot="1" x14ac:dyDescent="0.25">
      <c r="A61" s="226" t="s">
        <v>100</v>
      </c>
      <c r="B61" s="226"/>
      <c r="C61" s="226"/>
      <c r="D61" s="226"/>
      <c r="E61" s="226"/>
      <c r="F61" s="43"/>
      <c r="G61" s="236" t="s">
        <v>108</v>
      </c>
      <c r="H61" s="237"/>
    </row>
    <row r="62" spans="1:8" ht="39.950000000000003" customHeight="1" thickBot="1" x14ac:dyDescent="0.25">
      <c r="A62" s="56" t="s">
        <v>99</v>
      </c>
      <c r="B62" s="225" t="s">
        <v>167</v>
      </c>
      <c r="C62" s="225"/>
      <c r="D62" s="225"/>
      <c r="E62" s="225"/>
      <c r="F62" s="9"/>
      <c r="G62" s="44" t="s">
        <v>107</v>
      </c>
      <c r="H62" s="50" t="s">
        <v>12</v>
      </c>
    </row>
    <row r="63" spans="1:8" ht="48.75" customHeight="1" thickBot="1" x14ac:dyDescent="0.25">
      <c r="A63" s="57" t="s">
        <v>98</v>
      </c>
      <c r="B63" s="225" t="s">
        <v>97</v>
      </c>
      <c r="C63" s="225"/>
      <c r="D63" s="225"/>
      <c r="E63" s="225"/>
      <c r="F63" s="9"/>
      <c r="G63" s="44" t="s">
        <v>106</v>
      </c>
      <c r="H63" s="51" t="s">
        <v>15</v>
      </c>
    </row>
    <row r="64" spans="1:8" ht="54.75" customHeight="1" thickBot="1" x14ac:dyDescent="0.25">
      <c r="A64" s="58" t="s">
        <v>96</v>
      </c>
      <c r="B64" s="225" t="s">
        <v>95</v>
      </c>
      <c r="C64" s="225"/>
      <c r="D64" s="225"/>
      <c r="E64" s="225"/>
      <c r="F64" s="9"/>
      <c r="G64" s="44" t="s">
        <v>105</v>
      </c>
      <c r="H64" s="52" t="s">
        <v>16</v>
      </c>
    </row>
    <row r="65" spans="1:8" ht="15" x14ac:dyDescent="0.2">
      <c r="A65" s="59"/>
      <c r="B65" s="60"/>
      <c r="C65" s="60"/>
      <c r="D65" s="60"/>
      <c r="E65" s="37"/>
      <c r="F65" s="36"/>
      <c r="G65" s="36"/>
      <c r="H65" s="46"/>
    </row>
    <row r="66" spans="1:8" ht="18" customHeight="1" x14ac:dyDescent="0.2">
      <c r="A66" s="53"/>
      <c r="B66" s="54"/>
      <c r="C66" s="54"/>
      <c r="D66" s="54"/>
      <c r="E66" s="54"/>
      <c r="F66" s="54"/>
      <c r="G66" s="54"/>
      <c r="H66" s="55"/>
    </row>
    <row r="67" spans="1:8" ht="15" x14ac:dyDescent="0.2">
      <c r="C67" s="35"/>
      <c r="D67" s="34"/>
      <c r="E67" s="34"/>
      <c r="F67" s="34"/>
      <c r="G67" s="34"/>
      <c r="H67" s="34"/>
    </row>
    <row r="69" spans="1:8" ht="29.25" customHeight="1" x14ac:dyDescent="0.2"/>
    <row r="70" spans="1:8" ht="40.5" customHeight="1" x14ac:dyDescent="0.2"/>
    <row r="71" spans="1:8" ht="40.5" customHeight="1" x14ac:dyDescent="0.2"/>
  </sheetData>
  <mergeCells count="42">
    <mergeCell ref="B29:B33"/>
    <mergeCell ref="B34:B38"/>
    <mergeCell ref="B49:B53"/>
    <mergeCell ref="G1:H1"/>
    <mergeCell ref="C2:F2"/>
    <mergeCell ref="G2:H2"/>
    <mergeCell ref="B19:B23"/>
    <mergeCell ref="B24:B28"/>
    <mergeCell ref="B9:B13"/>
    <mergeCell ref="B14:B18"/>
    <mergeCell ref="A1:B2"/>
    <mergeCell ref="C1:F1"/>
    <mergeCell ref="A7:A8"/>
    <mergeCell ref="B7:B8"/>
    <mergeCell ref="C7:F7"/>
    <mergeCell ref="G7:G8"/>
    <mergeCell ref="H7:H8"/>
    <mergeCell ref="D4:E4"/>
    <mergeCell ref="G4:H4"/>
    <mergeCell ref="A5:C5"/>
    <mergeCell ref="D5:H5"/>
    <mergeCell ref="A6:H6"/>
    <mergeCell ref="B64:E64"/>
    <mergeCell ref="A59:H59"/>
    <mergeCell ref="G61:H61"/>
    <mergeCell ref="G58:H58"/>
    <mergeCell ref="A54:H54"/>
    <mergeCell ref="A55:B55"/>
    <mergeCell ref="G55:G56"/>
    <mergeCell ref="H55:H56"/>
    <mergeCell ref="A56:B56"/>
    <mergeCell ref="C56:F56"/>
    <mergeCell ref="A57:B57"/>
    <mergeCell ref="C57:F57"/>
    <mergeCell ref="G57:H57"/>
    <mergeCell ref="A58:B58"/>
    <mergeCell ref="C58:F58"/>
    <mergeCell ref="B39:B43"/>
    <mergeCell ref="B44:B48"/>
    <mergeCell ref="A61:E61"/>
    <mergeCell ref="B62:E62"/>
    <mergeCell ref="B63:E63"/>
  </mergeCells>
  <conditionalFormatting sqref="C58:F5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2020-07-23T14:40:20Z</cp:lastPrinted>
  <dcterms:created xsi:type="dcterms:W3CDTF">2016-06-29T13:31:45Z</dcterms:created>
  <dcterms:modified xsi:type="dcterms:W3CDTF">2020-07-23T14:41:14Z</dcterms:modified>
</cp:coreProperties>
</file>