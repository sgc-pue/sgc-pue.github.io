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F:\SGC-INE 7 ENTIDADES\Portal Puebla\SGC INE Final PDF)\E)Procesos de Soporte\03Reclutamiento y Selección\5Riesgos\"/>
    </mc:Choice>
  </mc:AlternateContent>
  <bookViews>
    <workbookView xWindow="0" yWindow="0" windowWidth="8790" windowHeight="4995" tabRatio="644"/>
  </bookViews>
  <sheets>
    <sheet name="Matriz Riesgo y Op" sheetId="20" r:id="rId1"/>
    <sheet name="Parámetros de riesgo" sheetId="32" r:id="rId2"/>
    <sheet name="Ponderación" sheetId="7" state="hidden" r:id="rId3"/>
    <sheet name="E de efectividad Ri" sheetId="33" r:id="rId4"/>
    <sheet name="E de efectividad Op" sheetId="34" r:id="rId5"/>
  </sheets>
  <externalReferences>
    <externalReference r:id="rId6"/>
    <externalReference r:id="rId7"/>
    <externalReference r:id="rId8"/>
  </externalReferences>
  <definedNames>
    <definedName name="AMENAZARAS">[1]CÁLCULOS!$B$29:$B$30</definedName>
    <definedName name="_xlnm.Print_Area" localSheetId="4">'E de efectividad Op'!$A$1:$H$56</definedName>
    <definedName name="_xlnm.Print_Area" localSheetId="3">'E de efectividad Ri'!$A$1:$H$56</definedName>
    <definedName name="_xlnm.Print_Area" localSheetId="0">'Matriz Riesgo y Op'!$A$1:$N$81</definedName>
    <definedName name="Entorno">Ponderación!$A$2:$B$11</definedName>
    <definedName name="Impacto" localSheetId="1">[2]Ponderación!$G$2:$H$4</definedName>
    <definedName name="Impacto">Ponderación!$G$2:$H$5</definedName>
    <definedName name="INTENSIDAD">[1]CÁLCULOS!$B$22:$B$26</definedName>
    <definedName name="Menor" localSheetId="2">"Severidad"</definedName>
    <definedName name="Naturaleza" localSheetId="1">[2]Ponderación!$A$2:$B$8</definedName>
    <definedName name="Naturaleza">Ponderación!$A$2:$B$11</definedName>
    <definedName name="Probabilidad" localSheetId="1">[2]Ponderación!$D$2:$E$4</definedName>
    <definedName name="Probabilidad">Ponderación!$D$2:$E$4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0" i="34" l="1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4" i="34"/>
  <c r="A25" i="34"/>
  <c r="A26" i="34"/>
  <c r="A27" i="34"/>
  <c r="A28" i="34"/>
  <c r="A29" i="34"/>
  <c r="A30" i="34"/>
  <c r="A31" i="34"/>
  <c r="A32" i="34"/>
  <c r="A33" i="34"/>
  <c r="A34" i="34"/>
  <c r="A35" i="34"/>
  <c r="A36" i="34"/>
  <c r="A37" i="34"/>
  <c r="A38" i="34"/>
  <c r="A39" i="34"/>
  <c r="A40" i="34"/>
  <c r="A41" i="34"/>
  <c r="A42" i="34"/>
  <c r="A43" i="34"/>
  <c r="B14" i="34"/>
  <c r="B19" i="34"/>
  <c r="B24" i="34"/>
  <c r="B29" i="34"/>
  <c r="B34" i="34"/>
  <c r="B39" i="34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B14" i="33"/>
  <c r="B19" i="33"/>
  <c r="B24" i="33"/>
  <c r="B29" i="33"/>
  <c r="B34" i="33"/>
  <c r="B39" i="33"/>
  <c r="I38" i="20" l="1"/>
  <c r="J38" i="20" s="1"/>
  <c r="K38" i="20" s="1"/>
  <c r="L38" i="20" s="1"/>
  <c r="I33" i="20"/>
  <c r="J33" i="20" s="1"/>
  <c r="K33" i="20" s="1"/>
  <c r="L33" i="20" s="1"/>
  <c r="I28" i="20"/>
  <c r="J28" i="20" s="1"/>
  <c r="K28" i="20" s="1"/>
  <c r="L28" i="20" s="1"/>
  <c r="I23" i="20"/>
  <c r="J23" i="20" s="1"/>
  <c r="K23" i="20" s="1"/>
  <c r="L23" i="20" s="1"/>
  <c r="I18" i="20"/>
  <c r="J18" i="20" s="1"/>
  <c r="K18" i="20" s="1"/>
  <c r="L18" i="20" s="1"/>
  <c r="I13" i="20"/>
  <c r="J13" i="20" s="1"/>
  <c r="K13" i="20" s="1"/>
  <c r="L13" i="20" s="1"/>
  <c r="I8" i="20"/>
  <c r="J8" i="20" s="1"/>
  <c r="K8" i="20" s="1"/>
  <c r="L8" i="20" s="1"/>
  <c r="I62" i="20" l="1"/>
  <c r="J62" i="20" s="1"/>
  <c r="K62" i="20" s="1"/>
  <c r="L62" i="20" s="1"/>
  <c r="I67" i="20"/>
  <c r="J67" i="20" s="1"/>
  <c r="K67" i="20" s="1"/>
  <c r="L67" i="20" s="1"/>
  <c r="I72" i="20"/>
  <c r="J72" i="20" s="1"/>
  <c r="K72" i="20" s="1"/>
  <c r="L72" i="20" s="1"/>
  <c r="I77" i="20"/>
  <c r="J77" i="20" s="1"/>
  <c r="K77" i="20" s="1"/>
  <c r="L77" i="20" s="1"/>
  <c r="A10" i="33" l="1"/>
  <c r="I57" i="20" l="1"/>
  <c r="J57" i="20" s="1"/>
  <c r="K57" i="20" s="1"/>
  <c r="L57" i="20" s="1"/>
  <c r="I52" i="20"/>
  <c r="J52" i="20" s="1"/>
  <c r="K52" i="20" s="1"/>
  <c r="L52" i="20" s="1"/>
  <c r="I47" i="20"/>
  <c r="J47" i="20" s="1"/>
  <c r="K47" i="20" s="1"/>
  <c r="L47" i="20" s="1"/>
  <c r="B9" i="33" l="1"/>
  <c r="B9" i="34"/>
  <c r="A9" i="34" l="1"/>
  <c r="F45" i="34"/>
  <c r="E45" i="34"/>
  <c r="D45" i="34"/>
  <c r="C45" i="34"/>
  <c r="C46" i="34" l="1"/>
  <c r="C48" i="34" s="1"/>
  <c r="F45" i="33"/>
  <c r="A9" i="33" l="1"/>
  <c r="C45" i="33"/>
  <c r="D45" i="33"/>
  <c r="E45" i="33"/>
  <c r="C46" i="33" l="1"/>
  <c r="C48" i="33" s="1"/>
</calcChain>
</file>

<file path=xl/sharedStrings.xml><?xml version="1.0" encoding="utf-8"?>
<sst xmlns="http://schemas.openxmlformats.org/spreadsheetml/2006/main" count="406" uniqueCount="237">
  <si>
    <t>MODERADO</t>
  </si>
  <si>
    <t>ASUMIRLO</t>
  </si>
  <si>
    <t>VIGILARLO</t>
  </si>
  <si>
    <t>MINIMIZARLO</t>
  </si>
  <si>
    <t>Moderado</t>
  </si>
  <si>
    <t>Operativo</t>
  </si>
  <si>
    <t>Industrial</t>
  </si>
  <si>
    <t>Financiera</t>
  </si>
  <si>
    <t>Político</t>
  </si>
  <si>
    <t>Ambiental</t>
  </si>
  <si>
    <t>Legal y Reglamentario</t>
  </si>
  <si>
    <t>Salud</t>
  </si>
  <si>
    <t>Alta</t>
  </si>
  <si>
    <t>Leve</t>
  </si>
  <si>
    <t>Grave</t>
  </si>
  <si>
    <t>Media</t>
  </si>
  <si>
    <t>Baja</t>
  </si>
  <si>
    <t>0 - 199</t>
  </si>
  <si>
    <t>200 - 399</t>
  </si>
  <si>
    <t>400 - 599</t>
  </si>
  <si>
    <t>600 - 799</t>
  </si>
  <si>
    <t>800 - 1000</t>
  </si>
  <si>
    <t>ATENCIÓN INMEDIATA</t>
  </si>
  <si>
    <t>CONTROLARLO</t>
  </si>
  <si>
    <t>TRIVIAL</t>
  </si>
  <si>
    <t>TOLERABLE</t>
  </si>
  <si>
    <t>IMPORTANTE</t>
  </si>
  <si>
    <t>INTOLERABLE</t>
  </si>
  <si>
    <t>OPORTUNIDADES</t>
  </si>
  <si>
    <t>NATURALEZA</t>
  </si>
  <si>
    <t>CLASIFICACIÓN</t>
  </si>
  <si>
    <t>DICTAMEN</t>
  </si>
  <si>
    <t>Operativa</t>
  </si>
  <si>
    <t>Política</t>
  </si>
  <si>
    <t>Económico / Financiero</t>
  </si>
  <si>
    <t>0 - 250</t>
  </si>
  <si>
    <t>LIMITADA</t>
  </si>
  <si>
    <t>A CONSIDERAR</t>
  </si>
  <si>
    <t>251 - 500</t>
  </si>
  <si>
    <t>MEDIA</t>
  </si>
  <si>
    <t>ABORDAR</t>
  </si>
  <si>
    <t>501 - 750</t>
  </si>
  <si>
    <t>POTENCIAL</t>
  </si>
  <si>
    <t>APROPIARSE</t>
  </si>
  <si>
    <t>751 - 1000</t>
  </si>
  <si>
    <t>SOBRESALIENTE</t>
  </si>
  <si>
    <t>EXPLOTARLA</t>
  </si>
  <si>
    <t>DEFINICIONES</t>
  </si>
  <si>
    <t>RIESGOS</t>
  </si>
  <si>
    <t>RANGOS</t>
  </si>
  <si>
    <t>ACCIONES</t>
  </si>
  <si>
    <t>Institucional</t>
  </si>
  <si>
    <r>
      <rPr>
        <b/>
        <sz val="10"/>
        <color theme="1"/>
        <rFont val="Arial"/>
        <family val="2"/>
      </rPr>
      <t>Remotamente posible</t>
    </r>
    <r>
      <rPr>
        <sz val="10"/>
        <color theme="1"/>
        <rFont val="Arial"/>
        <family val="2"/>
      </rPr>
      <t>. El daño ocurre muy rara vez.</t>
    </r>
  </si>
  <si>
    <r>
      <rPr>
        <b/>
        <sz val="10"/>
        <rFont val="Arial"/>
        <family val="2"/>
      </rPr>
      <t>Remotamente posible</t>
    </r>
    <r>
      <rPr>
        <sz val="10"/>
        <rFont val="Arial"/>
        <family val="2"/>
      </rPr>
      <t>. La oportunidad ocurre muy rara vez.</t>
    </r>
  </si>
  <si>
    <r>
      <rPr>
        <b/>
        <sz val="10"/>
        <color theme="1"/>
        <rFont val="Arial"/>
        <family val="2"/>
      </rPr>
      <t>Bastante posible</t>
    </r>
    <r>
      <rPr>
        <sz val="10"/>
        <color theme="1"/>
        <rFont val="Arial"/>
        <family val="2"/>
      </rPr>
      <t>. El daño ocurre en algunas ocasiones y no es extraño que sucediera.</t>
    </r>
  </si>
  <si>
    <r>
      <rPr>
        <b/>
        <sz val="10"/>
        <rFont val="Arial"/>
        <family val="2"/>
      </rPr>
      <t>Bastante posible</t>
    </r>
    <r>
      <rPr>
        <sz val="10"/>
        <rFont val="Arial"/>
        <family val="2"/>
      </rPr>
      <t>. La oportunidad ocurre en algunas ocasiones y no es extraño que sucediera.</t>
    </r>
  </si>
  <si>
    <r>
      <rPr>
        <b/>
        <sz val="10"/>
        <color theme="1"/>
        <rFont val="Arial"/>
        <family val="2"/>
      </rPr>
      <t>Completamente posible</t>
    </r>
    <r>
      <rPr>
        <sz val="10"/>
        <color theme="1"/>
        <rFont val="Arial"/>
        <family val="2"/>
      </rPr>
      <t>. El daño ocurre siempre o casi siempre y ya ha ocurrido en ocasiones anteriores.</t>
    </r>
  </si>
  <si>
    <r>
      <rPr>
        <b/>
        <sz val="10"/>
        <rFont val="Arial"/>
        <family val="2"/>
      </rPr>
      <t>Completamente posible</t>
    </r>
    <r>
      <rPr>
        <sz val="10"/>
        <rFont val="Arial"/>
        <family val="2"/>
      </rPr>
      <t>. La oportunidad ocurre casi siempre o siempre y ya ha ocurrido en ocasiones anteriores.</t>
    </r>
  </si>
  <si>
    <t>Riesgo cuyos efectos están relacionados con Partes Interesadas que generan una desventaja frente a la competencia en el mismo ramo, zona geográfica, Ciudad, Estado y/o País en la prestación del producto / servicio brindado a la Ciudadanía.</t>
  </si>
  <si>
    <t>Riesgo cuyos efectos están relacionados con la nula o mala prestación del servicio y/o entrega de la credencial para votar durante la operación y a la entrega a la Ciudadanía. Puede incluir maquinaria, equipo, infraestructura, Recurso Humano, Insumos, servicios de apoyo (agua potable, electricidad, redes, internet, Sistema SIIRFE-MAC) y Partes Interesadas.</t>
  </si>
  <si>
    <t>Oportunidad cuyos efectos están relacionados con Partes Interesadas que generan una ventaja competitiva en el mismo ramo, zona geográfica, Ciudad, Estado y/o País en la prestación del producto / servicio brindado a la Ciudadanía.</t>
  </si>
  <si>
    <t>Oportunidad cuyos efectos están relacionados con la prestación del servicio y/o entrega de la credencial para votar durante la operación y a la entrega a la Ciudadanía de forma eficiente. Puede incluir maquinaria, equipo, infraestructura, Recurso Humano, Insumos, servicios de apoyo (agua potable, electricidad, redes, internet, Sistema SIIRFE-MAC, etc.) y Partes Interesadas.</t>
  </si>
  <si>
    <t>Importante</t>
  </si>
  <si>
    <t>Social/Cultural</t>
  </si>
  <si>
    <t xml:space="preserve">Oportunidad que los integrantes del mercado y su influencia en el entorno sean de beneficio con la evolución demográfica, Movilidad social, Cambios en el estilo de vida, Actitud consumista, Nivel educativo, Patrones culturales y la Religión.
</t>
  </si>
  <si>
    <t xml:space="preserve">Riesgo en los integrantes del mercado y su influencia en el entorno. Variables como la evolución demográfica, Movilidad social, Cambios en el estilo de vida, Actitud consumista, Nivel educativo, Patrones culturales y la Religión.
</t>
  </si>
  <si>
    <t>Tecnológicos</t>
  </si>
  <si>
    <t>CONCLUSIONES</t>
  </si>
  <si>
    <t>Impacto</t>
  </si>
  <si>
    <t>Probabilidad</t>
  </si>
  <si>
    <t>Entorno</t>
  </si>
  <si>
    <t>PROBABILIDAD</t>
  </si>
  <si>
    <t>¿QUÉ LO ORIGINO?</t>
  </si>
  <si>
    <t>CONSECUENCIAS</t>
  </si>
  <si>
    <t>IMPACTO</t>
  </si>
  <si>
    <t>Riesgo mínimo negativo que limita la integridad para otorgar la prestación del servicio determinado por el proceso. Puede revertirse de forma rápida o inmediata y genera costos de no calidad mínimos sin daños permanentes.</t>
  </si>
  <si>
    <t>Riesgo negativo considerable que afecta la integridad para otorgar la prestación del servicio determinado por el proceso. Puede revertirse en un corto tiempo y genera costos de no calidad considerables y con daños mínimos permanentes.</t>
  </si>
  <si>
    <t>Riesgo negativo que afecta gravemente la integridad para otorgar la prestación del servicio determinado por el proceso. Pocas veces puede revertirse en un mediano o largo tiempo y genera costos de no calidad altos y con daños visiblemente permanentes.</t>
  </si>
  <si>
    <t>Impacto mínimo positivo que mantiene la integridad para otorgar la prestación del servicio determinado por el proceso. Puede implementarse de forma rápida y genera costos de calidad mínimos.</t>
  </si>
  <si>
    <t>Impacto positivo considerable que mejora la integridad para otorgar la prestación del servicio determinado por el proceso. Puede implementarse de un corto tiempo y genera costos de calidad considerables.</t>
  </si>
  <si>
    <t>Impacto positivo garantizado que potencializa la integridad para otorgar la prestación del servicio determinado por el proceso. Puede implementarse en un mediano o largo tiempo y genera costos de calidad considerables y posiblemente permanentes.</t>
  </si>
  <si>
    <t>Riesgo cuyos efectos están relacionados con los cambios de las normatividades legales y reglamentarias aplicables al instituto en el ámbito federal, local y del ramo que no permitan acceder, mantener o mejorar las relaciones con las Partes Interesadas y esto afecte a la  operación y a la entrega de la credencial para votar y/o trámite a la Ciudadanía.</t>
  </si>
  <si>
    <t>Riesgo cuyos efectos están relacionados con la probabilidad de que las fuerzas políticas generen cambios negativos en el entorno Institucional y obstaculicen o minimicen relaciones con Partes Interesadas.</t>
  </si>
  <si>
    <t>Oportunidad cuyos efectos están relacionados con la probabilidad de que las fuerzas políticas generen cambios positivos en el entorno Institucional y apoyen a mejorar las relaciones con las Partes Interesadas.</t>
  </si>
  <si>
    <t>PARÁMETROS DE RIESGOS</t>
  </si>
  <si>
    <t>IDENTIFICACIÓN</t>
  </si>
  <si>
    <t>EVALUACIÓN</t>
  </si>
  <si>
    <t>ACTIVIDAD DEL PROCESO</t>
  </si>
  <si>
    <t>ACCIONES DE RESPUESTA</t>
  </si>
  <si>
    <r>
      <t>Acción de contención inmediata, es importante generar una</t>
    </r>
    <r>
      <rPr>
        <b/>
        <sz val="10"/>
        <color theme="1"/>
        <rFont val="Arial"/>
        <family val="2"/>
      </rPr>
      <t xml:space="preserve"> Cédula de no Conformidad</t>
    </r>
    <r>
      <rPr>
        <sz val="10"/>
        <color theme="1"/>
        <rFont val="Arial"/>
        <family val="2"/>
      </rPr>
      <t xml:space="preserve"> eficaz y eficiente donde se realice un control específico y permanente ya que el riesgo es alto en la secuencia y la integridad del proceso  y/o Partes interesadas.</t>
    </r>
  </si>
  <si>
    <t>RESPONSABLE</t>
  </si>
  <si>
    <t>El proceso no realiza las mejoras en sus actividades, deben realizar las correcciones y acciones correctivas necesarias para poder abordar la oportunidad, para que genere de manera consistente el resultado esperado.</t>
  </si>
  <si>
    <t>Baja:</t>
  </si>
  <si>
    <t>El proceso se apropia de la oportunidad, sin embargo se deben realizar seguimiento oportuno que genere de manera consistente el resultado esperado.</t>
  </si>
  <si>
    <t>Media:</t>
  </si>
  <si>
    <t>El proceso explota la opotunidad de manera efectiva y produce el resultado esperado en un entorno de mejora continua.</t>
  </si>
  <si>
    <r>
      <t>Alta:</t>
    </r>
    <r>
      <rPr>
        <sz val="11"/>
        <color theme="1"/>
        <rFont val="Arial"/>
        <family val="2"/>
      </rPr>
      <t xml:space="preserve"> </t>
    </r>
  </si>
  <si>
    <t>Descripción de la Efectividad(Oportunidad)</t>
  </si>
  <si>
    <t>El proceso potencialmente no mantiene los riesgos controlados y se deben realizar las correcciones y acciones correctivas necesarias para que genere de manera consistente el resultado esperado.</t>
  </si>
  <si>
    <t>El proceso mantiene los riesgos controlados, sin embargo se deben realizar las correcciones necesarias para que genere de manera consistente el resultado esperado.</t>
  </si>
  <si>
    <t>El proceso mantiene los riesgos controlados y produce consistentemente el resultado esperado.</t>
  </si>
  <si>
    <t>Descripción de la Efectividad (Riesgo)</t>
  </si>
  <si>
    <t>0% al 69%</t>
  </si>
  <si>
    <t>70% al 84%</t>
  </si>
  <si>
    <t>85% al 100%</t>
  </si>
  <si>
    <t>Efectividad</t>
  </si>
  <si>
    <t xml:space="preserve">Efectividad </t>
  </si>
  <si>
    <t>Nivel de cumplimiento (E=PO/PEx100)</t>
  </si>
  <si>
    <t>(Numero de Actividades  x Criterio de Evaluación mayor (4) )</t>
  </si>
  <si>
    <t>Esperado:</t>
  </si>
  <si>
    <t>Total:</t>
  </si>
  <si>
    <t>Firma:</t>
  </si>
  <si>
    <t>Enterado Responsable del proceso</t>
  </si>
  <si>
    <t>Sub- total:</t>
  </si>
  <si>
    <t>Observaciones</t>
  </si>
  <si>
    <t>Evidencia de soporte</t>
  </si>
  <si>
    <t>Criterio de evaluación</t>
  </si>
  <si>
    <t>Referencia documental:</t>
  </si>
  <si>
    <t>Responsable:</t>
  </si>
  <si>
    <t>Proceso:</t>
  </si>
  <si>
    <t>Fecha:</t>
  </si>
  <si>
    <t>Acciones de Respuesta</t>
  </si>
  <si>
    <r>
      <t xml:space="preserve">Monitorear el riesgo, afecta mínimamente la secuencia y la integridad del proceso. Documentar las acciones de respuesta en la </t>
    </r>
    <r>
      <rPr>
        <b/>
        <sz val="10"/>
        <color theme="1"/>
        <rFont val="Arial"/>
        <family val="2"/>
      </rPr>
      <t>Evaluación de Efectividad de riesgos y oportunidades.</t>
    </r>
  </si>
  <si>
    <r>
      <t xml:space="preserve">Acción de contención inmediata, es urgente generar una </t>
    </r>
    <r>
      <rPr>
        <b/>
        <sz val="10"/>
        <color theme="1"/>
        <rFont val="Arial"/>
        <family val="2"/>
      </rPr>
      <t>Cédula de no Conformidad</t>
    </r>
    <r>
      <rPr>
        <sz val="10"/>
        <color theme="1"/>
        <rFont val="Arial"/>
        <family val="2"/>
      </rPr>
      <t xml:space="preserve"> y revisión del proceso (aplicar reingeniería si es necesario) eficaz y eficiente donde se realice un control específico y permanente ya que el riesgo es grave en la secuencia y la integridad del proceso  y/o Partes interesadas.</t>
    </r>
  </si>
  <si>
    <r>
      <t xml:space="preserve">Oportunidad con beneficios claros, generales y específicos en el proceso de varias o todas las áreas  y/o Partes Interesadas de la cual se obtiene un resultado a corto, mediano y/o largo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</si>
  <si>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r>
      <t xml:space="preserve">Oportunidad con beneficios claros y específicos en el proceso de una o varias áreas y/o Partes Interesadas, de la cual se espera un resultado a corto y mediano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</si>
  <si>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r>
      <t xml:space="preserve">Oportunidad que genera un beneficio mínimo en el proceso y/o Partes Interesadas de la cual se espera un resultado inmediato.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</si>
  <si>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t>Oportunidad</t>
  </si>
  <si>
    <t>Riesgo</t>
  </si>
  <si>
    <t>ATENCIÓN A RIESGOS</t>
  </si>
  <si>
    <t>ATENCIÓN A OPORTUNIDADES</t>
  </si>
  <si>
    <t>EVALUACIÓN DE LA EFECTIVIDAD DE LOS RIESGOS</t>
  </si>
  <si>
    <t>¿CUAL ES EL RIESGO DE QUE NO SE REALICE LA ACTIVIDAD?</t>
  </si>
  <si>
    <t>PROBABILIDAD DE QUE PASE</t>
  </si>
  <si>
    <t>IMPACTO AL PROCESO</t>
  </si>
  <si>
    <t>PROBABILIDAD DE MEJORA</t>
  </si>
  <si>
    <t>¿QUÉ ORIGINARÍA LA OPORTUNIDAD?</t>
  </si>
  <si>
    <t>BENEFICIOS</t>
  </si>
  <si>
    <t>IMPACTO DE LA MEJORA</t>
  </si>
  <si>
    <t>ENTORNO DEL RIESGO</t>
  </si>
  <si>
    <t>¿CUÁL ES LA OPORTUNIDAD Y/O MEJORA EN LA ACTIVIDAD?</t>
  </si>
  <si>
    <t>SEGUIMIENTO</t>
  </si>
  <si>
    <t>Notificación de la vacante</t>
  </si>
  <si>
    <t>Verificar el perfil del cargo</t>
  </si>
  <si>
    <t>Resultados</t>
  </si>
  <si>
    <t>Entrevista</t>
  </si>
  <si>
    <t>Versión: 0</t>
  </si>
  <si>
    <t>Fecha de emisión:
06/03/2020</t>
  </si>
  <si>
    <r>
      <t>F</t>
    </r>
    <r>
      <rPr>
        <sz val="11"/>
        <color theme="1"/>
        <rFont val="Arial"/>
        <family val="2"/>
      </rPr>
      <t>echa de emisión</t>
    </r>
    <r>
      <rPr>
        <sz val="11"/>
        <color rgb="FF000000"/>
        <rFont val="Arial"/>
        <family val="2"/>
      </rPr>
      <t>:
06/03/2020</t>
    </r>
  </si>
  <si>
    <t xml:space="preserve"> </t>
  </si>
  <si>
    <t>Módulo operando con la plantilla incompleta</t>
  </si>
  <si>
    <t>VDE y VDRFE</t>
  </si>
  <si>
    <t xml:space="preserve">Seleccionar personal sin que se identifiquen sus cualidades o debilidades. </t>
  </si>
  <si>
    <t>VDRFE</t>
  </si>
  <si>
    <t>CLASIFICACIÓN
RIESGO</t>
  </si>
  <si>
    <t>NIVEL DE OPORTUNIDAD</t>
  </si>
  <si>
    <t xml:space="preserve">Asegurar que la entrevista sea aplicada simultáneamente por el VE y el VRFE </t>
  </si>
  <si>
    <t>Revisar y descartar los perfiles de los Aspirantes que no cumplan con el perfil requerido del cargo.</t>
  </si>
  <si>
    <t>Solicitar la herramienta que proporcione perfiles específicos, comportamientos, etc., a la Dirección de Operación y Seguimiento.</t>
  </si>
  <si>
    <t>Planear la entrevista para asegurar la participación de los involucrados.</t>
  </si>
  <si>
    <t>Selección de personal con el perfil no adecuado</t>
  </si>
  <si>
    <t>No se cuenta con la certeza del conocimiento del personal evaluado</t>
  </si>
  <si>
    <t>CLASIFICACIÓN
 OPORTUNIDAD</t>
  </si>
  <si>
    <t>ENTORNO DE LA MEJORA</t>
  </si>
  <si>
    <t>Asegurar la publicación de la convocatoria a través del mayor número de medios disponibles: la página oficial del INE, carteles, redes sociales, boletines de radio, etc.</t>
  </si>
  <si>
    <t>Aspirantes a cubrir la plaza nulos o limitados</t>
  </si>
  <si>
    <t>ANÁLISIS DE RIESGOS/OPORTUNIDADES
PROCESO DE RECLUTAMIENTO Y SELECCIÓN</t>
  </si>
  <si>
    <t>EVALUACIÓN DE LA EFECTIVIDAD DE LOS OPORTUNIDADES</t>
  </si>
  <si>
    <t>Convocatoria Pública</t>
  </si>
  <si>
    <t>INSTITUTO NACIONAL ELECTORAL JLE PUEBLA
SISTEMA DE GESTIÓN DE LA CALIDAD</t>
  </si>
  <si>
    <t>Cualquier riesgo cuyo efecto negativo está relacionado con la salud física, medio ambiente y seguridad laboral de cualquier Parte Interesada (interna o externa), así como el ambiente laboral de los funcionarios dentro de los MAC´s.</t>
  </si>
  <si>
    <t>Riesgo cuyos efectos están relacionados con cambios en la planeación y ejecución estratégica del INE, DOS, DERFE, que provocan limitantes tangibles e intangibles en los resultados de los MAC´s.</t>
  </si>
  <si>
    <t>Riesgo del desarrollo tecnológico y sus aportes en la actividad Institucional. Depende de su estado la cifra en gasto público en investigación, Preocupación gubernamental y de industria por la tecnología, Grado de obsolescencia, Madurez de las tecnologías convencionales, Desarrollo de nuevos productos, Velocidad de transmisión de la tecnología.</t>
  </si>
  <si>
    <t>Riesgo cuyos efectos están relacionados con limitar o detener la sostenibilidad financiera de los  MAC´s,  las cuales pueden ser generadas en conjunto por una o unas de las Partes Interesadas.</t>
  </si>
  <si>
    <t>Oportunidad cuyo efecto está relacionado con mantener e incrementar los beneficios en la salud física, medio ambiente y seguridad laboral de cualquier Parte Interesada (interna y externa), así como el ambiente laboral de los Funcionarios dentro de los MAC´s.</t>
  </si>
  <si>
    <t>Oportunidad cuyos efectos están relacionados con el aprovechamiento de los cambios en las normatividades legales y reglamentarias aplicables en el Instituto en el ámbito federal, local y del ramo que permitan mantener y mejorar las relaciones con las Partes Interesadas durante la operación y a la entrega de la credencial para votar y/o trámite a la Ciudadanía.</t>
  </si>
  <si>
    <t>Oportunidad cuyos efectos están relacionados con cambios en la planeación y ejecución estratégica del INE, DERFE, DOS, que provocan beneficios tangibles e intangibles en los resultados de los MAC´s.</t>
  </si>
  <si>
    <t>Oportunidad en el desarrollo tecnológico y sus aportes en la actividad de los MAC´s, Madurez de las tecnologías convencionales, Desarrollo de nuevos productos, Velocidad de transmisión de la tecnología.</t>
  </si>
  <si>
    <r>
      <t xml:space="preserve">Oportunidad con buena posibilidad de abordarse siempre y cuando se profundice en los beneficios esperados en el proceso de una o varias áreas  y/o Partes Interesadas de la cual se espera un resultado a corto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</si>
  <si>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t>Designación de personal y lista de reserva</t>
  </si>
  <si>
    <t>Que el cargo aparezca vacante, cuando ya está designado</t>
  </si>
  <si>
    <t xml:space="preserve">Tener un seguimiento de la situación de los Funcionarios del Módulo que implique una vacante, para anticiparse a iniciar el proceso </t>
  </si>
  <si>
    <t>* Contratación oportuna.</t>
  </si>
  <si>
    <t>* Que la difusión se lleve a cabo en los tiempos establecidos.</t>
  </si>
  <si>
    <t xml:space="preserve">* Que el contenido de la evaluación, sea de acuerdo con los requerimientos del cargo. </t>
  </si>
  <si>
    <t>* Ampliar la cobertura para poder llegar a más Ciudadanos con interés de trabajar en el INE.</t>
  </si>
  <si>
    <t>* Planear con anticipación la convocatoria.</t>
  </si>
  <si>
    <t>* Falta de cumplimiento a la normatividad establecida.
* Omisión por parte de los vocales involucrados (VE y VRFE) para enviar propuesta de contratación.                                                                          * Atraso en la contratación.</t>
  </si>
  <si>
    <t>* Omisión por parte de los vocales involucrados (VE y VRFE).</t>
  </si>
  <si>
    <t>* La mala comunicación entre las instancias involucradas y responsables del área donde se generó la vacante (Responsable de Módulo y Vocal Distrital).</t>
  </si>
  <si>
    <t>* Incremento en los tiempos de atención por la falta de personal.
* La observación por parte de las áreas encargadas del seguimiento de las actividades.</t>
  </si>
  <si>
    <t>* Destitución del personal contratado.
* Nueva convocatoria. 
* Resultados negativos y adversos en los intereses y metas del Instituto.</t>
  </si>
  <si>
    <t>* Reprogramación de fechas para la aplicación de exámenes lo que conlleva a retraso en la contratación del personal.</t>
  </si>
  <si>
    <t>* Retraso en la contratación.
* Incumplimiento al principio de máxima publicidad.</t>
  </si>
  <si>
    <t>* No tener la certeza de que la persona cubre con el perfil del cargo.</t>
  </si>
  <si>
    <t>* La observación por parte de las áreas encargadas del seguimiento de las actividades.
* No contar con lista de reserva conlleva a emitir nuevas convocatorias, y en los módulos, a trabajar sin el total del personal requerido.</t>
  </si>
  <si>
    <t>* Que no se tengan Aspirantes o que el proceso de selección tienda a ser parcial.</t>
  </si>
  <si>
    <t>* Omisión por parte del personal encargado de la recepción y revisión de la documentación de los Aspirantes.</t>
  </si>
  <si>
    <t>Evaluación de los Aspirantes</t>
  </si>
  <si>
    <t>Seleccionar a Aspirantes para continuar en el proceso, que no cubran el perfil
requerido para el cargo</t>
  </si>
  <si>
    <t>* No contar con las herramientas necesarias, para llevar a cabo una evaluación adecuada con los Aspirantes (no tener el examen, no tener red, fallas en el equipo de cómputo).</t>
  </si>
  <si>
    <t>* Falta de cumplimiento a la normatividad establecida.
* Aspirante no llega a entrevista, limitando las cantidad de Aspirantes al cargo.</t>
  </si>
  <si>
    <t>* Tener mayor cantidad de Aspirantes.</t>
  </si>
  <si>
    <t>Hacer hincapié al Aspirante de los requisitos solicitados en la convocatoria</t>
  </si>
  <si>
    <t>* No invertir tiempo en Aspirantes que no cubren con el perfil del cargo.</t>
  </si>
  <si>
    <t>Instrumentar un modelo de evaluación, que considere todos los criterios a evaluar de acuerdo con lo establecido en la estrategia para obtener el mejor Aspirante</t>
  </si>
  <si>
    <t>Asegurar se difundan ampliamente los resultados, ya sea en estrado o hablar directamente con los Aspirantes, para notificar quien pasa a la siguiente etapa</t>
  </si>
  <si>
    <t>* Mayor objetividad en la evaluación del Aspirante.</t>
  </si>
  <si>
    <t>Asegurar que la designación del Aspirante y lista de reserva sea confirmada</t>
  </si>
  <si>
    <t>* Tener mayor cantidad de Aspirantes, para llevar a cabo una optima selección del personal.</t>
  </si>
  <si>
    <t>* Omisión en la publicación de los resultados.          * Que no se publiquen o difundan los resultados y los Aspirantes no se presenten a la siguiente etapa por desconocimiento.</t>
  </si>
  <si>
    <t>* Cubrir la vacante con Aspirantes que cumplan el perfil.</t>
  </si>
  <si>
    <t>* Seleccionar al Aspirante que  cumpla con los requisitos establecidos para el cargo.</t>
  </si>
  <si>
    <t>* Que se seleccione al Aspirante idóneo.</t>
  </si>
  <si>
    <t>* Contar con lista de reserva con personal que cumpla con el perfil.</t>
  </si>
  <si>
    <t>* Asistencia de Aspirantes que pasan a siguiente etapa.
* Con la publicación de resultados se da veracidad al proceso de selección.</t>
  </si>
  <si>
    <r>
      <t>Control rutinario, no afecta la secuencia e integridad del proceso y/o Partes Interesadas. Documentar las acciones de respuesta en la</t>
    </r>
    <r>
      <rPr>
        <b/>
        <sz val="10"/>
        <color theme="1"/>
        <rFont val="Arial"/>
        <family val="2"/>
      </rPr>
      <t xml:space="preserve"> Evaluación de Efectividad de riesgos y oportunidades.</t>
    </r>
  </si>
  <si>
    <r>
      <t>Documentar las acciones de respuesta en la</t>
    </r>
    <r>
      <rPr>
        <b/>
        <sz val="10"/>
        <color theme="1"/>
        <rFont val="Arial"/>
        <family val="2"/>
      </rPr>
      <t xml:space="preserve"> Evaluación de Efectividad de riesgos y oportunidades</t>
    </r>
    <r>
      <rPr>
        <sz val="10"/>
        <color theme="1"/>
        <rFont val="Arial"/>
        <family val="2"/>
      </rPr>
      <t xml:space="preserve"> e incluir controles permanentes ya que existe un riesgo moderado en la secuencia y la integridad del proceso y/o Partes Interesadas.</t>
    </r>
  </si>
  <si>
    <t>Oficios y correos electrónicos de la renuncia.</t>
  </si>
  <si>
    <t>Oficios y correos electrónicos de la rescisión del contrato, en su caso, las constancias que justifiquen dicha acción.</t>
  </si>
  <si>
    <t>Realizar la difusión en los medios existentes.</t>
  </si>
  <si>
    <t>Asegurar evidencias por medio de Oficios y correos electrónicos sobre la publicación de la convocatoria.</t>
  </si>
  <si>
    <t>Constancias de evidencias de los medios mediante los cuales se difunda la invitación o convocatoria.</t>
  </si>
  <si>
    <t>Solicitudes y Cédulas del Cargo debidamente requisitadas (que el perfil, funciones y responsabilidades correspondan al cargo vacante).</t>
  </si>
  <si>
    <t>Oficios y correos electrónicos sobre la aplicación de los exámenes y test al VRFEL y área administrativa.</t>
  </si>
  <si>
    <t>VED y VDRFE</t>
  </si>
  <si>
    <t>Oficios y correos electrónicos de estatus al VED.</t>
  </si>
  <si>
    <t>Generar cédula de no conformidad.</t>
  </si>
  <si>
    <t>Oficios y correos electrónicos sobre Aspirantes, designados al área administrativa.</t>
  </si>
  <si>
    <t>Envío de la Lista de reserva al VED, para su publicación.</t>
  </si>
  <si>
    <t>VEL y VRFEL</t>
  </si>
  <si>
    <t>Mantener comunicación continúa con el Responsable de Módulo.</t>
  </si>
  <si>
    <t>Asegurar que la Convocatoria se emita con los requisitos claramente detallados, etapas del proceso, etc., así como que se difunda a través de los canales disponibles.</t>
  </si>
  <si>
    <t>Seguimiento a la Convocatoria en las plataformas en que se haya difundido la misma.</t>
  </si>
  <si>
    <t>Asegurar que los resultados se hagan en estrado y en los medios utilizados para la convocatoria.</t>
  </si>
  <si>
    <t xml:space="preserve">Notificar la designación al Aspirante. </t>
  </si>
  <si>
    <t>Oportunidad cuyos efectos están relacionados con mantener e incrementar la sostenibilidad financiera del Instituto, las cuales pueden ser generadas en conjunto por una o varias de las Partes Interesadas.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</si>
</sst>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2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ahoma"/>
      <family val="2"/>
    </font>
    <font>
      <sz val="10"/>
      <name val="Arial"/>
      <family val="2"/>
    </font>
    <font>
      <b/>
      <sz val="14"/>
      <color theme="0"/>
      <name val="Tahoma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8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20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EBF1DE"/>
        <bgColor rgb="FFEBF1DE"/>
      </patternFill>
    </fill>
    <fill>
      <patternFill patternType="solid">
        <fgColor theme="6" tint="-0.499984740745262"/>
        <bgColor theme="6" tint="-0.499984740745262"/>
      </patternFill>
    </fill>
    <fill>
      <patternFill patternType="solid">
        <fgColor rgb="FFD5007F"/>
        <bgColor indexed="64"/>
      </patternFill>
    </fill>
    <fill>
      <patternFill patternType="solid">
        <fgColor rgb="FF95005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DFF"/>
        <bgColor indexed="64"/>
      </patternFill>
    </fill>
    <fill>
      <patternFill patternType="solid">
        <fgColor theme="0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auto="1"/>
      </top>
      <bottom style="hair">
        <color auto="1"/>
      </bottom>
      <diagonal/>
    </border>
    <border>
      <left style="hair">
        <color theme="0" tint="-0.34998626667073579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theme="6" tint="-0.499984740745262"/>
      </left>
      <right style="thin">
        <color theme="6" tint="-0.499984740745262"/>
      </right>
      <top style="thick">
        <color theme="6" tint="-0.499984740745262"/>
      </top>
      <bottom style="thick">
        <color theme="6" tint="-0.499984740745262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/>
      <right style="double">
        <color auto="1"/>
      </right>
      <top style="hair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ash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 style="dashed">
        <color theme="2" tint="-0.24994659260841701"/>
      </bottom>
      <diagonal/>
    </border>
    <border>
      <left/>
      <right/>
      <top/>
      <bottom style="dashed">
        <color theme="2" tint="-0.24994659260841701"/>
      </bottom>
      <diagonal/>
    </border>
    <border>
      <left style="dashed">
        <color theme="2" tint="-0.24994659260841701"/>
      </left>
      <right/>
      <top/>
      <bottom style="dashed">
        <color theme="2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ouble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uble">
        <color theme="0" tint="-0.249977111117893"/>
      </top>
      <bottom style="dotted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dotted">
        <color theme="0" tint="-0.249977111117893"/>
      </right>
      <top style="double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theme="0" tint="-0.34998626667073579"/>
      </right>
      <top style="double">
        <color theme="0" tint="-0.249977111117893"/>
      </top>
      <bottom style="dotted">
        <color theme="0" tint="-0.249977111117893"/>
      </bottom>
      <diagonal/>
    </border>
    <border>
      <left style="thin">
        <color theme="0" tint="-0.34998626667073579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theme="0" tint="-0.34998626667073579"/>
      </right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/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/>
      <bottom style="double">
        <color theme="0" tint="-0.249977111117893"/>
      </bottom>
      <diagonal/>
    </border>
    <border>
      <left style="medium">
        <color theme="0" tint="-0.249977111117893"/>
      </left>
      <right style="thin">
        <color theme="0" tint="-0.34998626667073579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 style="dott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otted">
        <color theme="2" tint="-0.2499465926084170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theme="2" tint="-0.24994659260841701"/>
      </right>
      <top style="dashed">
        <color theme="2" tint="-0.24994659260841701"/>
      </top>
      <bottom style="dashed">
        <color theme="2" tint="-0.24994659260841701"/>
      </bottom>
      <diagonal/>
    </border>
    <border>
      <left style="dash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/>
      <diagonal/>
    </border>
    <border>
      <left style="dashed">
        <color theme="2" tint="-0.24994659260841701"/>
      </left>
      <right style="dashed">
        <color theme="2" tint="-0.24994659260841701"/>
      </right>
      <top/>
      <bottom/>
      <diagonal/>
    </border>
    <border>
      <left style="dashed">
        <color theme="2" tint="-0.24994659260841701"/>
      </left>
      <right style="dashed">
        <color theme="2" tint="-0.24994659260841701"/>
      </right>
      <top/>
      <bottom style="dash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/>
      <diagonal/>
    </border>
    <border>
      <left style="dashed">
        <color theme="2" tint="-0.24994659260841701"/>
      </left>
      <right style="dotted">
        <color theme="2" tint="-0.24994659260841701"/>
      </right>
      <top/>
      <bottom/>
      <diagonal/>
    </border>
    <border>
      <left style="dott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/>
      <diagonal/>
    </border>
    <border>
      <left style="dotted">
        <color theme="2" tint="-0.24994659260841701"/>
      </left>
      <right style="dotted">
        <color theme="2" tint="-0.24994659260841701"/>
      </right>
      <top/>
      <bottom/>
      <diagonal/>
    </border>
    <border>
      <left style="dashed">
        <color theme="2" tint="-0.24994659260841701"/>
      </left>
      <right style="dotted">
        <color theme="2" tint="-0.24994659260841701"/>
      </right>
      <top/>
      <bottom style="dash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/>
      <bottom style="dash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ashed">
        <color theme="2" tint="-0.24994659260841701"/>
      </bottom>
      <diagonal/>
    </border>
    <border>
      <left/>
      <right/>
      <top style="hair">
        <color indexed="64"/>
      </top>
      <bottom style="dashed">
        <color theme="2" tint="-0.24994659260841701"/>
      </bottom>
      <diagonal/>
    </border>
    <border>
      <left style="dashed">
        <color theme="2" tint="-0.24994659260841701"/>
      </left>
      <right/>
      <top style="hair">
        <color indexed="64"/>
      </top>
      <bottom style="dashed">
        <color theme="2" tint="-0.24994659260841701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 style="thin">
        <color theme="0" tint="-0.34998626667073579"/>
      </right>
      <top style="dotted">
        <color theme="0" tint="-0.249977111117893"/>
      </top>
      <bottom style="dotted">
        <color theme="0" tint="-0.249977111117893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 style="dott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ott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ashed">
        <color theme="2" tint="-0.24994659260841701"/>
      </bottom>
      <diagonal/>
    </border>
    <border>
      <left style="dotted">
        <color theme="0" tint="-0.249977111117893"/>
      </left>
      <right/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/>
      <diagonal/>
    </border>
    <border>
      <left style="dotted">
        <color theme="0" tint="-0.249977111117893"/>
      </left>
      <right style="dotted">
        <color theme="0" tint="-0.249977111117893"/>
      </right>
      <top/>
      <bottom/>
      <diagonal/>
    </border>
    <border>
      <left style="dotted">
        <color theme="0" tint="-0.249977111117893"/>
      </left>
      <right style="dotted">
        <color theme="0" tint="-0.249977111117893"/>
      </right>
      <top/>
      <bottom style="dotted">
        <color theme="0" tint="-0.249977111117893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theme="0" tint="-0.34998626667073579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theme="0" tint="-0.34998626667073579"/>
      </top>
      <bottom style="hair">
        <color auto="1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auto="1"/>
      </top>
      <bottom style="double">
        <color theme="0" tint="-0.34998626667073579"/>
      </bottom>
      <diagonal/>
    </border>
    <border>
      <left style="hair">
        <color theme="0" tint="-0.34998626667073579"/>
      </left>
      <right style="double">
        <color auto="1"/>
      </right>
      <top style="hair">
        <color auto="1"/>
      </top>
      <bottom style="double">
        <color theme="0" tint="-0.34998626667073579"/>
      </bottom>
      <diagonal/>
    </border>
    <border>
      <left/>
      <right style="hair">
        <color auto="1"/>
      </right>
      <top style="double">
        <color theme="0" tint="-0.34998626667073579"/>
      </top>
      <bottom style="hair">
        <color auto="1"/>
      </bottom>
      <diagonal/>
    </border>
    <border>
      <left/>
      <right style="hair">
        <color theme="0" tint="-0.34998626667073579"/>
      </right>
      <top style="hair">
        <color auto="1"/>
      </top>
      <bottom style="hair">
        <color auto="1"/>
      </bottom>
      <diagonal/>
    </border>
    <border>
      <left/>
      <right style="hair">
        <color theme="0" tint="-0.34998626667073579"/>
      </right>
      <top style="hair">
        <color auto="1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double">
        <color theme="0" tint="-0.34998626667073579"/>
      </top>
      <bottom style="hair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double">
        <color theme="0" tint="-0.34998626667073579"/>
      </bottom>
      <diagonal/>
    </border>
    <border>
      <left style="double">
        <color auto="1"/>
      </left>
      <right/>
      <top/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dotted">
        <color theme="2" tint="-0.24994659260841701"/>
      </left>
      <right style="dotted">
        <color theme="2" tint="-0.24994659260841701"/>
      </right>
      <top/>
      <bottom style="dott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/>
      <diagonal/>
    </border>
    <border>
      <left style="dotted">
        <color theme="2" tint="-0.24994659260841701"/>
      </left>
      <right/>
      <top style="dotted">
        <color theme="2" tint="-0.24994659260841701"/>
      </top>
      <bottom style="dotted">
        <color theme="2" tint="-0.24994659260841701"/>
      </bottom>
      <diagonal/>
    </border>
    <border>
      <left style="dotted">
        <color theme="2" tint="-0.24994659260841701"/>
      </left>
      <right/>
      <top style="dotted">
        <color theme="2" tint="-0.24994659260841701"/>
      </top>
      <bottom style="dashed">
        <color theme="2" tint="-0.24994659260841701"/>
      </bottom>
      <diagonal/>
    </border>
  </borders>
  <cellStyleXfs count="12">
    <xf numFmtId="0" fontId="0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9" borderId="0" applyFont="0" applyBorder="0" applyAlignment="0"/>
    <xf numFmtId="0" fontId="4" fillId="0" borderId="0"/>
    <xf numFmtId="0" fontId="5" fillId="10" borderId="18">
      <alignment horizontal="center" vertical="center"/>
    </xf>
    <xf numFmtId="0" fontId="17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0" xfId="0" applyNumberFormat="1"/>
    <xf numFmtId="0" fontId="0" fillId="0" borderId="0" xfId="0" applyFill="1" applyBorder="1" applyAlignment="1"/>
    <xf numFmtId="0" fontId="0" fillId="0" borderId="0" xfId="0" applyFill="1" applyBorder="1" applyAlignment="1">
      <alignment wrapText="1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justify" vertical="center" wrapText="1"/>
      <protection locked="0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1" fillId="11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1" fillId="11" borderId="9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justify" vertical="center" wrapText="1"/>
    </xf>
    <xf numFmtId="0" fontId="11" fillId="11" borderId="1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1" fillId="11" borderId="14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20" xfId="0" applyFont="1" applyFill="1" applyBorder="1" applyAlignment="1">
      <alignment horizontal="center" vertical="center" wrapText="1"/>
    </xf>
    <xf numFmtId="0" fontId="11" fillId="13" borderId="9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6" fillId="0" borderId="0" xfId="0" applyFont="1" applyBorder="1"/>
    <xf numFmtId="0" fontId="20" fillId="0" borderId="0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8" fillId="11" borderId="30" xfId="0" applyFont="1" applyFill="1" applyBorder="1"/>
    <xf numFmtId="0" fontId="6" fillId="0" borderId="30" xfId="0" applyFont="1" applyBorder="1"/>
    <xf numFmtId="0" fontId="8" fillId="0" borderId="0" xfId="0" applyFont="1" applyFill="1" applyBorder="1" applyAlignment="1">
      <alignment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/>
    <xf numFmtId="0" fontId="6" fillId="0" borderId="33" xfId="0" applyFont="1" applyBorder="1"/>
    <xf numFmtId="0" fontId="8" fillId="11" borderId="34" xfId="0" applyFont="1" applyFill="1" applyBorder="1"/>
    <xf numFmtId="0" fontId="23" fillId="0" borderId="36" xfId="0" applyFont="1" applyBorder="1" applyAlignment="1">
      <alignment horizontal="center" vertical="center" wrapText="1"/>
    </xf>
    <xf numFmtId="0" fontId="20" fillId="0" borderId="37" xfId="0" applyFont="1" applyBorder="1" applyAlignment="1">
      <alignment vertical="center" wrapText="1"/>
    </xf>
    <xf numFmtId="0" fontId="6" fillId="13" borderId="40" xfId="0" applyFont="1" applyFill="1" applyBorder="1" applyAlignment="1">
      <alignment horizontal="center" vertical="center" wrapText="1"/>
    </xf>
    <xf numFmtId="0" fontId="6" fillId="3" borderId="40" xfId="0" applyFont="1" applyFill="1" applyBorder="1" applyAlignment="1">
      <alignment horizontal="center" vertical="center" wrapText="1"/>
    </xf>
    <xf numFmtId="0" fontId="6" fillId="4" borderId="40" xfId="0" applyFont="1" applyFill="1" applyBorder="1" applyAlignment="1">
      <alignment horizontal="center" vertical="center" wrapText="1"/>
    </xf>
    <xf numFmtId="0" fontId="6" fillId="0" borderId="41" xfId="0" applyFont="1" applyBorder="1"/>
    <xf numFmtId="0" fontId="6" fillId="0" borderId="42" xfId="0" applyFont="1" applyBorder="1"/>
    <xf numFmtId="0" fontId="6" fillId="0" borderId="43" xfId="0" applyFont="1" applyBorder="1"/>
    <xf numFmtId="0" fontId="19" fillId="13" borderId="44" xfId="0" applyFont="1" applyFill="1" applyBorder="1" applyAlignment="1">
      <alignment horizontal="center" vertical="center" wrapText="1"/>
    </xf>
    <xf numFmtId="0" fontId="19" fillId="3" borderId="44" xfId="0" applyFont="1" applyFill="1" applyBorder="1" applyAlignment="1">
      <alignment horizontal="center" vertical="center" wrapText="1"/>
    </xf>
    <xf numFmtId="0" fontId="19" fillId="4" borderId="44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21" fillId="0" borderId="29" xfId="0" applyFont="1" applyBorder="1" applyAlignment="1">
      <alignment horizontal="center"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justify" vertical="center" wrapText="1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 vertical="center" wrapText="1"/>
    </xf>
    <xf numFmtId="0" fontId="11" fillId="11" borderId="80" xfId="0" applyFont="1" applyFill="1" applyBorder="1" applyAlignment="1">
      <alignment horizontal="center" vertical="center" wrapText="1"/>
    </xf>
    <xf numFmtId="0" fontId="11" fillId="11" borderId="81" xfId="0" applyFont="1" applyFill="1" applyBorder="1" applyAlignment="1">
      <alignment horizontal="center" vertical="center" wrapText="1"/>
    </xf>
    <xf numFmtId="0" fontId="11" fillId="11" borderId="82" xfId="0" applyFont="1" applyFill="1" applyBorder="1" applyAlignment="1">
      <alignment horizontal="center" vertical="center" wrapText="1"/>
    </xf>
    <xf numFmtId="0" fontId="11" fillId="0" borderId="83" xfId="0" applyFont="1" applyFill="1" applyBorder="1" applyAlignment="1">
      <alignment horizontal="center" vertical="center" wrapText="1"/>
    </xf>
    <xf numFmtId="0" fontId="13" fillId="0" borderId="83" xfId="0" applyFont="1" applyFill="1" applyBorder="1" applyAlignment="1">
      <alignment vertical="center" wrapText="1"/>
    </xf>
    <xf numFmtId="0" fontId="11" fillId="11" borderId="84" xfId="0" applyFont="1" applyFill="1" applyBorder="1" applyAlignment="1">
      <alignment horizontal="center" vertical="center" wrapText="1"/>
    </xf>
    <xf numFmtId="0" fontId="11" fillId="0" borderId="83" xfId="0" applyFont="1" applyFill="1" applyBorder="1" applyAlignment="1">
      <alignment vertical="center" wrapText="1"/>
    </xf>
    <xf numFmtId="0" fontId="4" fillId="0" borderId="83" xfId="0" applyFont="1" applyFill="1" applyBorder="1" applyAlignment="1">
      <alignment vertical="center" wrapText="1"/>
    </xf>
    <xf numFmtId="0" fontId="4" fillId="0" borderId="85" xfId="0" applyFont="1" applyBorder="1" applyAlignment="1">
      <alignment horizontal="justify" vertical="top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16" fillId="0" borderId="0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8" fillId="12" borderId="25" xfId="0" applyFont="1" applyFill="1" applyBorder="1" applyAlignment="1" applyProtection="1">
      <alignment horizontal="center" vertical="center" wrapText="1"/>
      <protection locked="0"/>
    </xf>
    <xf numFmtId="0" fontId="18" fillId="12" borderId="25" xfId="0" applyFont="1" applyFill="1" applyBorder="1" applyAlignment="1" applyProtection="1">
      <alignment horizontal="center" vertical="center" wrapText="1"/>
      <protection locked="0"/>
    </xf>
    <xf numFmtId="0" fontId="6" fillId="0" borderId="0" xfId="0" applyNumberFormat="1" applyFont="1" applyBorder="1" applyAlignment="1" applyProtection="1">
      <alignment horizontal="center" vertical="center" wrapText="1"/>
      <protection locked="0"/>
    </xf>
    <xf numFmtId="0" fontId="8" fillId="12" borderId="48" xfId="0" applyFont="1" applyFill="1" applyBorder="1" applyAlignment="1" applyProtection="1">
      <alignment horizontal="center" vertical="center" wrapText="1"/>
      <protection locked="0"/>
    </xf>
    <xf numFmtId="0" fontId="0" fillId="17" borderId="1" xfId="0" applyFont="1" applyFill="1" applyBorder="1" applyAlignment="1">
      <alignment horizontal="center" vertical="center" wrapText="1"/>
    </xf>
    <xf numFmtId="0" fontId="6" fillId="0" borderId="45" xfId="0" applyFont="1" applyBorder="1" applyAlignment="1" applyProtection="1">
      <alignment horizontal="center" vertical="center" wrapText="1"/>
      <protection locked="0"/>
    </xf>
    <xf numFmtId="0" fontId="6" fillId="0" borderId="86" xfId="0" applyFont="1" applyBorder="1" applyAlignment="1" applyProtection="1">
      <alignment horizontal="center" vertical="center" wrapText="1"/>
      <protection locked="0"/>
    </xf>
    <xf numFmtId="0" fontId="6" fillId="0" borderId="88" xfId="0" applyFont="1" applyBorder="1" applyAlignment="1" applyProtection="1">
      <alignment horizontal="center" vertical="center" wrapText="1"/>
      <protection locked="0"/>
    </xf>
    <xf numFmtId="0" fontId="6" fillId="0" borderId="89" xfId="0" applyFont="1" applyBorder="1" applyAlignment="1" applyProtection="1">
      <alignment horizontal="center" vertical="center" wrapText="1"/>
      <protection locked="0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21" fillId="0" borderId="29" xfId="0" applyFont="1" applyBorder="1" applyAlignment="1">
      <alignment horizontal="center" vertical="center" wrapText="1"/>
    </xf>
    <xf numFmtId="0" fontId="6" fillId="0" borderId="0" xfId="0" applyFont="1" applyBorder="1" applyAlignment="1" applyProtection="1">
      <alignment horizontal="justify" vertical="center" wrapText="1"/>
      <protection locked="0"/>
    </xf>
    <xf numFmtId="0" fontId="6" fillId="0" borderId="45" xfId="0" applyFont="1" applyBorder="1" applyAlignment="1" applyProtection="1">
      <alignment horizontal="justify" vertical="center" wrapText="1"/>
      <protection locked="0"/>
    </xf>
    <xf numFmtId="0" fontId="6" fillId="0" borderId="46" xfId="0" applyFont="1" applyBorder="1" applyAlignment="1" applyProtection="1">
      <alignment horizontal="justify" vertical="center" wrapText="1"/>
      <protection locked="0"/>
    </xf>
    <xf numFmtId="0" fontId="4" fillId="0" borderId="12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justify" vertical="center" wrapText="1"/>
    </xf>
    <xf numFmtId="0" fontId="13" fillId="0" borderId="5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13" fillId="0" borderId="17" xfId="0" applyFont="1" applyBorder="1" applyAlignment="1">
      <alignment horizontal="left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justify" vertical="center" wrapText="1"/>
    </xf>
    <xf numFmtId="0" fontId="13" fillId="0" borderId="10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10" xfId="0" applyFont="1" applyBorder="1" applyAlignment="1">
      <alignment horizontal="justify" vertical="center" wrapText="1"/>
    </xf>
    <xf numFmtId="0" fontId="13" fillId="0" borderId="78" xfId="0" applyFont="1" applyBorder="1" applyAlignment="1">
      <alignment horizontal="justify" vertical="center" wrapText="1"/>
    </xf>
    <xf numFmtId="0" fontId="13" fillId="0" borderId="15" xfId="0" applyFont="1" applyBorder="1" applyAlignment="1">
      <alignment horizontal="justify" vertical="center" wrapText="1"/>
    </xf>
    <xf numFmtId="0" fontId="13" fillId="0" borderId="16" xfId="0" applyFont="1" applyBorder="1" applyAlignment="1">
      <alignment horizontal="justify" vertical="center" wrapText="1"/>
    </xf>
    <xf numFmtId="0" fontId="13" fillId="0" borderId="79" xfId="0" applyFont="1" applyBorder="1" applyAlignment="1">
      <alignment horizontal="justify" vertical="center" wrapText="1"/>
    </xf>
    <xf numFmtId="0" fontId="13" fillId="0" borderId="75" xfId="0" applyFont="1" applyBorder="1" applyAlignment="1">
      <alignment horizontal="justify" vertical="center" wrapText="1"/>
    </xf>
    <xf numFmtId="0" fontId="13" fillId="0" borderId="76" xfId="0" applyFont="1" applyBorder="1" applyAlignment="1">
      <alignment horizontal="justify" vertical="center" wrapText="1"/>
    </xf>
    <xf numFmtId="0" fontId="4" fillId="0" borderId="72" xfId="0" applyFont="1" applyBorder="1" applyAlignment="1">
      <alignment horizontal="justify" vertical="center" wrapText="1"/>
    </xf>
    <xf numFmtId="0" fontId="11" fillId="11" borderId="77" xfId="0" applyFont="1" applyFill="1" applyBorder="1" applyAlignment="1">
      <alignment horizontal="center" vertical="center" wrapText="1"/>
    </xf>
    <xf numFmtId="0" fontId="11" fillId="11" borderId="73" xfId="0" applyFont="1" applyFill="1" applyBorder="1" applyAlignment="1">
      <alignment horizontal="center" vertical="center" wrapText="1"/>
    </xf>
    <xf numFmtId="0" fontId="11" fillId="11" borderId="74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justify" wrapText="1"/>
    </xf>
    <xf numFmtId="0" fontId="13" fillId="0" borderId="21" xfId="0" applyFont="1" applyBorder="1" applyAlignment="1">
      <alignment horizontal="justify" wrapText="1"/>
    </xf>
    <xf numFmtId="0" fontId="13" fillId="0" borderId="17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0" borderId="47" xfId="0" applyFont="1" applyBorder="1" applyAlignment="1">
      <alignment horizontal="justify" vertical="center" wrapText="1"/>
    </xf>
    <xf numFmtId="0" fontId="16" fillId="0" borderId="1" xfId="0" applyFont="1" applyBorder="1" applyAlignment="1">
      <alignment horizontal="center"/>
    </xf>
    <xf numFmtId="0" fontId="11" fillId="11" borderId="19" xfId="0" applyFont="1" applyFill="1" applyBorder="1" applyAlignment="1">
      <alignment horizontal="center" vertical="center" wrapText="1"/>
    </xf>
    <xf numFmtId="0" fontId="11" fillId="11" borderId="7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5" fillId="0" borderId="70" xfId="0" applyFont="1" applyFill="1" applyBorder="1" applyAlignment="1">
      <alignment horizontal="left" vertical="center" wrapText="1"/>
    </xf>
    <xf numFmtId="0" fontId="6" fillId="0" borderId="49" xfId="0" applyFont="1" applyFill="1" applyBorder="1" applyAlignment="1" applyProtection="1">
      <alignment horizontal="center" vertical="center" wrapText="1"/>
      <protection locked="0"/>
    </xf>
    <xf numFmtId="0" fontId="6" fillId="0" borderId="50" xfId="0" applyFont="1" applyFill="1" applyBorder="1" applyAlignment="1" applyProtection="1">
      <alignment horizontal="center" vertical="center" wrapText="1"/>
      <protection locked="0"/>
    </xf>
    <xf numFmtId="0" fontId="6" fillId="0" borderId="51" xfId="0" applyFont="1" applyFill="1" applyBorder="1" applyAlignment="1" applyProtection="1">
      <alignment horizontal="center" vertical="center" wrapText="1"/>
      <protection locked="0"/>
    </xf>
    <xf numFmtId="0" fontId="7" fillId="0" borderId="87" xfId="0" applyFont="1" applyFill="1" applyBorder="1" applyAlignment="1" applyProtection="1">
      <alignment horizontal="center" vertical="center" wrapText="1"/>
      <protection locked="0"/>
    </xf>
    <xf numFmtId="0" fontId="7" fillId="0" borderId="55" xfId="0" applyFont="1" applyFill="1" applyBorder="1" applyAlignment="1" applyProtection="1">
      <alignment horizontal="center" vertical="center" wrapText="1"/>
      <protection locked="0"/>
    </xf>
    <xf numFmtId="0" fontId="7" fillId="0" borderId="86" xfId="0" applyFont="1" applyFill="1" applyBorder="1" applyAlignment="1" applyProtection="1">
      <alignment horizontal="center" vertical="center" wrapText="1"/>
      <protection locked="0"/>
    </xf>
    <xf numFmtId="0" fontId="6" fillId="0" borderId="45" xfId="0" applyFont="1" applyFill="1" applyBorder="1" applyAlignment="1" applyProtection="1">
      <alignment horizontal="center" vertical="center" wrapText="1"/>
      <protection locked="0"/>
    </xf>
    <xf numFmtId="0" fontId="6" fillId="0" borderId="46" xfId="0" applyFont="1" applyFill="1" applyBorder="1" applyAlignment="1" applyProtection="1">
      <alignment horizontal="center" vertical="center" wrapText="1"/>
      <protection locked="0"/>
    </xf>
    <xf numFmtId="0" fontId="6" fillId="0" borderId="58" xfId="0" applyFont="1" applyFill="1" applyBorder="1" applyAlignment="1" applyProtection="1">
      <alignment horizontal="center" vertical="center" wrapText="1"/>
      <protection locked="0"/>
    </xf>
    <xf numFmtId="0" fontId="6" fillId="0" borderId="52" xfId="0" applyFont="1" applyBorder="1" applyAlignment="1" applyProtection="1">
      <alignment horizontal="center" vertical="center" wrapText="1"/>
      <protection hidden="1"/>
    </xf>
    <xf numFmtId="0" fontId="6" fillId="0" borderId="53" xfId="0" applyFont="1" applyBorder="1" applyAlignment="1" applyProtection="1">
      <alignment horizontal="center" vertical="center" wrapText="1"/>
      <protection hidden="1"/>
    </xf>
    <xf numFmtId="0" fontId="6" fillId="0" borderId="56" xfId="0" applyFont="1" applyBorder="1" applyAlignment="1" applyProtection="1">
      <alignment horizontal="center" vertical="center" wrapText="1"/>
      <protection hidden="1"/>
    </xf>
    <xf numFmtId="0" fontId="6" fillId="0" borderId="54" xfId="0" applyFont="1" applyBorder="1" applyAlignment="1" applyProtection="1">
      <alignment horizontal="justify" vertical="center" wrapText="1"/>
      <protection hidden="1"/>
    </xf>
    <xf numFmtId="0" fontId="6" fillId="0" borderId="55" xfId="0" applyFont="1" applyBorder="1" applyAlignment="1" applyProtection="1">
      <alignment horizontal="justify" vertical="center" wrapText="1"/>
      <protection hidden="1"/>
    </xf>
    <xf numFmtId="0" fontId="6" fillId="0" borderId="57" xfId="0" applyFont="1" applyBorder="1" applyAlignment="1" applyProtection="1">
      <alignment horizontal="justify" vertical="center" wrapText="1"/>
      <protection hidden="1"/>
    </xf>
    <xf numFmtId="0" fontId="7" fillId="0" borderId="45" xfId="0" applyFont="1" applyFill="1" applyBorder="1" applyAlignment="1" applyProtection="1">
      <alignment horizontal="justify" vertical="center" wrapText="1"/>
      <protection locked="0"/>
    </xf>
    <xf numFmtId="0" fontId="7" fillId="0" borderId="46" xfId="0" applyFont="1" applyFill="1" applyBorder="1" applyAlignment="1" applyProtection="1">
      <alignment horizontal="justify" vertical="center" wrapText="1"/>
      <protection locked="0"/>
    </xf>
    <xf numFmtId="0" fontId="7" fillId="0" borderId="45" xfId="0" applyFont="1" applyBorder="1" applyAlignment="1" applyProtection="1">
      <alignment horizontal="center" vertical="center" wrapText="1"/>
      <protection locked="0"/>
    </xf>
    <xf numFmtId="0" fontId="7" fillId="0" borderId="46" xfId="0" applyFont="1" applyBorder="1" applyAlignment="1" applyProtection="1">
      <alignment horizontal="center" vertical="center" wrapText="1"/>
      <protection locked="0"/>
    </xf>
    <xf numFmtId="0" fontId="7" fillId="0" borderId="49" xfId="0" applyFont="1" applyFill="1" applyBorder="1" applyAlignment="1" applyProtection="1">
      <alignment horizontal="center" vertical="center" wrapText="1"/>
      <protection locked="0"/>
    </xf>
    <xf numFmtId="0" fontId="7" fillId="0" borderId="50" xfId="0" applyFont="1" applyFill="1" applyBorder="1" applyAlignment="1" applyProtection="1">
      <alignment horizontal="center" vertical="center" wrapText="1"/>
      <protection locked="0"/>
    </xf>
    <xf numFmtId="0" fontId="7" fillId="0" borderId="51" xfId="0" applyFont="1" applyFill="1" applyBorder="1" applyAlignment="1" applyProtection="1">
      <alignment horizontal="center" vertical="center" wrapText="1"/>
      <protection locked="0"/>
    </xf>
    <xf numFmtId="0" fontId="6" fillId="0" borderId="45" xfId="0" applyNumberFormat="1" applyFont="1" applyBorder="1" applyAlignment="1" applyProtection="1">
      <alignment horizontal="center" vertical="center" wrapText="1"/>
      <protection hidden="1"/>
    </xf>
    <xf numFmtId="0" fontId="6" fillId="0" borderId="46" xfId="0" applyNumberFormat="1" applyFont="1" applyBorder="1" applyAlignment="1" applyProtection="1">
      <alignment horizontal="center" vertical="center" wrapText="1"/>
      <protection hidden="1"/>
    </xf>
    <xf numFmtId="0" fontId="6" fillId="0" borderId="49" xfId="0" applyFont="1" applyBorder="1" applyAlignment="1" applyProtection="1">
      <alignment horizontal="center" vertical="center" wrapText="1"/>
      <protection hidden="1"/>
    </xf>
    <xf numFmtId="0" fontId="6" fillId="0" borderId="50" xfId="0" applyFont="1" applyBorder="1" applyAlignment="1" applyProtection="1">
      <alignment horizontal="center" vertical="center" wrapText="1"/>
      <protection hidden="1"/>
    </xf>
    <xf numFmtId="0" fontId="6" fillId="0" borderId="51" xfId="0" applyFont="1" applyBorder="1" applyAlignment="1" applyProtection="1">
      <alignment horizontal="center" vertical="center" wrapText="1"/>
      <protection hidden="1"/>
    </xf>
    <xf numFmtId="0" fontId="6" fillId="0" borderId="45" xfId="0" applyFont="1" applyFill="1" applyBorder="1" applyAlignment="1" applyProtection="1">
      <alignment horizontal="justify" vertical="center" wrapText="1"/>
      <protection locked="0"/>
    </xf>
    <xf numFmtId="0" fontId="6" fillId="0" borderId="46" xfId="0" applyFont="1" applyFill="1" applyBorder="1" applyAlignment="1" applyProtection="1">
      <alignment horizontal="justify" vertical="center" wrapText="1"/>
      <protection locked="0"/>
    </xf>
    <xf numFmtId="0" fontId="6" fillId="0" borderId="58" xfId="0" applyFont="1" applyFill="1" applyBorder="1" applyAlignment="1" applyProtection="1">
      <alignment horizontal="justify" vertical="center" wrapText="1"/>
      <protection locked="0"/>
    </xf>
    <xf numFmtId="0" fontId="7" fillId="0" borderId="54" xfId="0" applyFont="1" applyFill="1" applyBorder="1" applyAlignment="1" applyProtection="1">
      <alignment horizontal="justify" vertical="center" wrapText="1"/>
      <protection locked="0"/>
    </xf>
    <xf numFmtId="0" fontId="7" fillId="0" borderId="55" xfId="0" applyFont="1" applyFill="1" applyBorder="1" applyAlignment="1" applyProtection="1">
      <alignment horizontal="justify" vertical="center" wrapText="1"/>
      <protection locked="0"/>
    </xf>
    <xf numFmtId="0" fontId="7" fillId="0" borderId="86" xfId="0" applyFont="1" applyFill="1" applyBorder="1" applyAlignment="1" applyProtection="1">
      <alignment horizontal="justify" vertical="center" wrapText="1"/>
      <protection locked="0"/>
    </xf>
    <xf numFmtId="0" fontId="7" fillId="0" borderId="45" xfId="0" applyFont="1" applyFill="1" applyBorder="1" applyAlignment="1" applyProtection="1">
      <alignment horizontal="center" vertical="center" wrapText="1"/>
      <protection locked="0"/>
    </xf>
    <xf numFmtId="0" fontId="7" fillId="0" borderId="46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/>
      <protection locked="0"/>
    </xf>
    <xf numFmtId="0" fontId="8" fillId="14" borderId="26" xfId="0" applyFont="1" applyFill="1" applyBorder="1" applyAlignment="1" applyProtection="1">
      <alignment horizontal="center" vertical="center" wrapText="1"/>
      <protection locked="0"/>
    </xf>
    <xf numFmtId="0" fontId="19" fillId="3" borderId="27" xfId="0" applyFont="1" applyFill="1" applyBorder="1" applyAlignment="1" applyProtection="1">
      <alignment horizontal="center" vertical="center" wrapText="1"/>
      <protection locked="0"/>
    </xf>
    <xf numFmtId="0" fontId="19" fillId="3" borderId="26" xfId="0" applyFont="1" applyFill="1" applyBorder="1" applyAlignment="1" applyProtection="1">
      <alignment horizontal="center" vertical="center" wrapText="1"/>
      <protection locked="0"/>
    </xf>
    <xf numFmtId="0" fontId="9" fillId="0" borderId="22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19" fillId="16" borderId="17" xfId="0" applyFont="1" applyFill="1" applyBorder="1" applyAlignment="1" applyProtection="1">
      <alignment horizontal="center" vertical="center" wrapText="1"/>
      <protection locked="0"/>
    </xf>
    <xf numFmtId="0" fontId="19" fillId="16" borderId="5" xfId="0" applyFont="1" applyFill="1" applyBorder="1" applyAlignment="1" applyProtection="1">
      <alignment horizontal="center" vertical="center" wrapText="1"/>
      <protection locked="0"/>
    </xf>
    <xf numFmtId="0" fontId="19" fillId="16" borderId="47" xfId="0" applyFont="1" applyFill="1" applyBorder="1" applyAlignment="1" applyProtection="1">
      <alignment horizontal="center" vertical="center" wrapText="1"/>
      <protection locked="0"/>
    </xf>
    <xf numFmtId="0" fontId="6" fillId="0" borderId="63" xfId="0" applyFont="1" applyFill="1" applyBorder="1" applyAlignment="1" applyProtection="1">
      <alignment horizontal="center" vertical="center" wrapText="1"/>
      <protection locked="0"/>
    </xf>
    <xf numFmtId="0" fontId="6" fillId="0" borderId="64" xfId="0" applyFont="1" applyFill="1" applyBorder="1" applyAlignment="1" applyProtection="1">
      <alignment horizontal="center" vertical="center" wrapText="1"/>
      <protection locked="0"/>
    </xf>
    <xf numFmtId="0" fontId="6" fillId="0" borderId="65" xfId="0" applyFont="1" applyFill="1" applyBorder="1" applyAlignment="1" applyProtection="1">
      <alignment horizontal="center" vertical="center" wrapText="1"/>
      <protection locked="0"/>
    </xf>
    <xf numFmtId="0" fontId="7" fillId="17" borderId="45" xfId="0" applyFont="1" applyFill="1" applyBorder="1" applyAlignment="1" applyProtection="1">
      <alignment horizontal="center" vertical="center" wrapText="1"/>
      <protection locked="0"/>
    </xf>
    <xf numFmtId="0" fontId="7" fillId="17" borderId="46" xfId="0" applyFont="1" applyFill="1" applyBorder="1" applyAlignment="1" applyProtection="1">
      <alignment horizontal="center" vertical="center" wrapText="1"/>
      <protection locked="0"/>
    </xf>
    <xf numFmtId="0" fontId="7" fillId="17" borderId="58" xfId="0" applyFont="1" applyFill="1" applyBorder="1" applyAlignment="1" applyProtection="1">
      <alignment horizontal="center" vertical="center" wrapText="1"/>
      <protection locked="0"/>
    </xf>
    <xf numFmtId="0" fontId="7" fillId="0" borderId="58" xfId="0" applyFont="1" applyFill="1" applyBorder="1" applyAlignment="1" applyProtection="1">
      <alignment horizontal="center" vertical="center" wrapText="1"/>
      <protection locked="0"/>
    </xf>
    <xf numFmtId="0" fontId="8" fillId="15" borderId="26" xfId="0" applyFont="1" applyFill="1" applyBorder="1" applyAlignment="1" applyProtection="1">
      <alignment horizontal="center" vertical="center" wrapText="1"/>
      <protection locked="0"/>
    </xf>
    <xf numFmtId="0" fontId="7" fillId="0" borderId="49" xfId="0" applyFont="1" applyFill="1" applyBorder="1" applyAlignment="1" applyProtection="1">
      <alignment horizontal="justify" vertical="center" wrapText="1"/>
      <protection locked="0"/>
    </xf>
    <xf numFmtId="0" fontId="7" fillId="0" borderId="50" xfId="0" applyFont="1" applyFill="1" applyBorder="1" applyAlignment="1" applyProtection="1">
      <alignment horizontal="justify" vertical="center" wrapText="1"/>
      <protection locked="0"/>
    </xf>
    <xf numFmtId="0" fontId="7" fillId="0" borderId="51" xfId="0" applyFont="1" applyFill="1" applyBorder="1" applyAlignment="1" applyProtection="1">
      <alignment horizontal="justify" vertical="center" wrapText="1"/>
      <protection locked="0"/>
    </xf>
    <xf numFmtId="0" fontId="8" fillId="14" borderId="59" xfId="0" applyFont="1" applyFill="1" applyBorder="1" applyAlignment="1" applyProtection="1">
      <alignment horizontal="center" vertical="center" wrapText="1"/>
      <protection locked="0"/>
    </xf>
    <xf numFmtId="0" fontId="8" fillId="15" borderId="59" xfId="0" applyFont="1" applyFill="1" applyBorder="1" applyAlignment="1" applyProtection="1">
      <alignment horizontal="center" vertical="center" wrapText="1"/>
      <protection locked="0"/>
    </xf>
    <xf numFmtId="0" fontId="19" fillId="3" borderId="60" xfId="0" applyFont="1" applyFill="1" applyBorder="1" applyAlignment="1" applyProtection="1">
      <alignment horizontal="center" vertical="center" wrapText="1"/>
      <protection locked="0"/>
    </xf>
    <xf numFmtId="0" fontId="19" fillId="3" borderId="59" xfId="0" applyFont="1" applyFill="1" applyBorder="1" applyAlignment="1" applyProtection="1">
      <alignment horizontal="center" vertical="center" wrapText="1"/>
      <protection locked="0"/>
    </xf>
    <xf numFmtId="0" fontId="7" fillId="0" borderId="87" xfId="0" applyFont="1" applyFill="1" applyBorder="1" applyAlignment="1" applyProtection="1">
      <alignment horizontal="justify" vertical="center" wrapText="1"/>
      <protection locked="0"/>
    </xf>
    <xf numFmtId="0" fontId="7" fillId="17" borderId="45" xfId="0" applyFont="1" applyFill="1" applyBorder="1" applyAlignment="1" applyProtection="1">
      <alignment horizontal="justify" vertical="center" wrapText="1"/>
      <protection locked="0"/>
    </xf>
    <xf numFmtId="0" fontId="7" fillId="17" borderId="46" xfId="0" applyFont="1" applyFill="1" applyBorder="1" applyAlignment="1" applyProtection="1">
      <alignment horizontal="justify" vertical="center" wrapText="1"/>
      <protection locked="0"/>
    </xf>
    <xf numFmtId="0" fontId="7" fillId="0" borderId="54" xfId="0" applyFont="1" applyFill="1" applyBorder="1" applyAlignment="1" applyProtection="1">
      <alignment horizontal="center" vertical="center" wrapText="1"/>
      <protection locked="0"/>
    </xf>
    <xf numFmtId="0" fontId="7" fillId="0" borderId="57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0" fontId="20" fillId="0" borderId="68" xfId="0" applyFont="1" applyBorder="1" applyAlignment="1">
      <alignment horizontal="center" vertical="center" wrapText="1"/>
    </xf>
    <xf numFmtId="0" fontId="20" fillId="0" borderId="69" xfId="0" applyFont="1" applyBorder="1" applyAlignment="1">
      <alignment horizontal="center" vertical="center" wrapText="1"/>
    </xf>
    <xf numFmtId="0" fontId="8" fillId="11" borderId="37" xfId="0" applyFont="1" applyFill="1" applyBorder="1" applyAlignment="1">
      <alignment horizontal="center" vertical="center" wrapText="1"/>
    </xf>
    <xf numFmtId="0" fontId="20" fillId="0" borderId="36" xfId="0" applyFont="1" applyBorder="1" applyAlignment="1">
      <alignment vertical="center" wrapText="1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8" fillId="11" borderId="36" xfId="0" applyFont="1" applyFill="1" applyBorder="1" applyAlignment="1">
      <alignment horizontal="center"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6" fillId="0" borderId="44" xfId="0" applyFont="1" applyBorder="1" applyAlignment="1">
      <alignment horizontal="justify" vertical="center" wrapText="1"/>
    </xf>
    <xf numFmtId="0" fontId="8" fillId="11" borderId="44" xfId="0" applyFont="1" applyFill="1" applyBorder="1" applyAlignment="1">
      <alignment horizontal="center" vertical="center"/>
    </xf>
    <xf numFmtId="0" fontId="8" fillId="11" borderId="36" xfId="0" applyFont="1" applyFill="1" applyBorder="1" applyAlignment="1">
      <alignment horizontal="right" vertical="center" wrapText="1"/>
    </xf>
    <xf numFmtId="0" fontId="8" fillId="11" borderId="29" xfId="0" applyFont="1" applyFill="1" applyBorder="1" applyAlignment="1">
      <alignment horizontal="right" vertical="center" wrapText="1"/>
    </xf>
    <xf numFmtId="9" fontId="19" fillId="0" borderId="29" xfId="8" applyFont="1" applyBorder="1" applyAlignment="1">
      <alignment horizontal="center" vertical="center" wrapText="1"/>
    </xf>
    <xf numFmtId="9" fontId="6" fillId="0" borderId="29" xfId="8" applyFont="1" applyBorder="1" applyAlignment="1">
      <alignment horizontal="center" vertical="center" wrapText="1"/>
    </xf>
    <xf numFmtId="0" fontId="8" fillId="11" borderId="29" xfId="0" applyFont="1" applyFill="1" applyBorder="1" applyAlignment="1">
      <alignment vertical="center" wrapText="1"/>
    </xf>
    <xf numFmtId="0" fontId="8" fillId="11" borderId="37" xfId="0" applyFont="1" applyFill="1" applyBorder="1" applyAlignment="1">
      <alignment vertical="center" wrapText="1"/>
    </xf>
    <xf numFmtId="0" fontId="20" fillId="0" borderId="38" xfId="0" applyFont="1" applyBorder="1" applyAlignment="1">
      <alignment vertical="center" wrapText="1"/>
    </xf>
    <xf numFmtId="0" fontId="20" fillId="0" borderId="28" xfId="0" applyFont="1" applyBorder="1" applyAlignment="1">
      <alignment vertical="center" wrapText="1"/>
    </xf>
    <xf numFmtId="0" fontId="20" fillId="0" borderId="39" xfId="0" applyFont="1" applyBorder="1" applyAlignment="1">
      <alignment vertical="center" wrapText="1"/>
    </xf>
    <xf numFmtId="0" fontId="8" fillId="11" borderId="31" xfId="0" applyFont="1" applyFill="1" applyBorder="1" applyAlignment="1">
      <alignment horizontal="center" vertical="center" wrapText="1"/>
    </xf>
    <xf numFmtId="0" fontId="8" fillId="11" borderId="40" xfId="0" applyFont="1" applyFill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6" fillId="0" borderId="37" xfId="0" applyFont="1" applyBorder="1" applyAlignment="1">
      <alignment vertical="center" wrapText="1"/>
    </xf>
    <xf numFmtId="0" fontId="6" fillId="0" borderId="36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center"/>
    </xf>
    <xf numFmtId="0" fontId="6" fillId="0" borderId="61" xfId="0" applyFont="1" applyBorder="1" applyAlignment="1">
      <alignment horizontal="center"/>
    </xf>
    <xf numFmtId="0" fontId="6" fillId="0" borderId="6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0" fontId="8" fillId="11" borderId="36" xfId="0" applyFont="1" applyFill="1" applyBorder="1" applyAlignment="1">
      <alignment horizontal="left"/>
    </xf>
    <xf numFmtId="0" fontId="8" fillId="11" borderId="29" xfId="0" applyFont="1" applyFill="1" applyBorder="1" applyAlignment="1">
      <alignment horizontal="left"/>
    </xf>
  </cellXfs>
  <cellStyles count="12">
    <cellStyle name="FONS" xfId="4"/>
    <cellStyle name="Moneda 2" xfId="1"/>
    <cellStyle name="Moneda 2 2" xfId="3"/>
    <cellStyle name="Moneda 2 2 2" xfId="11"/>
    <cellStyle name="Moneda 2 3" xfId="9"/>
    <cellStyle name="Moneda 3" xfId="2"/>
    <cellStyle name="Moneda 3 2" xfId="10"/>
    <cellStyle name="Normal" xfId="0" builtinId="0"/>
    <cellStyle name="Normal 2" xfId="5"/>
    <cellStyle name="Normal 3" xfId="7"/>
    <cellStyle name="Porcentaje" xfId="8" builtinId="5"/>
    <cellStyle name="Títol1" xfId="6"/>
  </cellStyles>
  <dxfs count="82"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CDFF"/>
      <color rgb="FFD5007F"/>
      <color rgb="FF950054"/>
      <color rgb="FFB2B2B2"/>
      <color rgb="FF1D1D1B"/>
      <color rgb="FF003300"/>
      <color rgb="FF006600"/>
      <color rgb="FFC0C0C0"/>
      <color rgb="FF66FF33"/>
      <color rgb="FFED9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1721303</xdr:colOff>
      <xdr:row>1</xdr:row>
      <xdr:rowOff>116776</xdr:rowOff>
    </xdr:from>
    <xdr:to>
      <xdr:col>2</xdr:col>
      <xdr:colOff>1479448</xdr:colOff>
      <xdr:row>2</xdr:row>
      <xdr:rowOff>710046</xdr:rowOff>
    </xdr:to>
    <xdr:pic>
      <xdr:nvPicPr>
        <xdr:cNvPr id="5" name="image1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0167" y="289958"/>
          <a:ext cx="1680463" cy="1320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673553</xdr:colOff>
      <xdr:row>0</xdr:row>
      <xdr:rowOff>54429</xdr:rowOff>
    </xdr:from>
    <xdr:to>
      <xdr:col>2</xdr:col>
      <xdr:colOff>437029</xdr:colOff>
      <xdr:row>1</xdr:row>
      <xdr:rowOff>510135</xdr:rowOff>
    </xdr:to>
    <xdr:pic>
      <xdr:nvPicPr>
        <xdr:cNvPr id="3" name="image1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553" y="54429"/>
          <a:ext cx="2352035" cy="982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666750</xdr:colOff>
      <xdr:row>0</xdr:row>
      <xdr:rowOff>0</xdr:rowOff>
    </xdr:from>
    <xdr:to>
      <xdr:col>1</xdr:col>
      <xdr:colOff>636388</xdr:colOff>
      <xdr:row>1</xdr:row>
      <xdr:rowOff>276224</xdr:rowOff>
    </xdr:to>
    <xdr:pic>
      <xdr:nvPicPr>
        <xdr:cNvPr id="2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0"/>
          <a:ext cx="1026913" cy="657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0</xdr:row>
      <xdr:rowOff>0</xdr:rowOff>
    </xdr:from>
    <xdr:to>
      <xdr:col>1</xdr:col>
      <xdr:colOff>853563</xdr:colOff>
      <xdr:row>1</xdr:row>
      <xdr:rowOff>257175</xdr:rowOff>
    </xdr:to>
    <xdr:pic>
      <xdr:nvPicPr>
        <xdr:cNvPr id="2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0"/>
          <a:ext cx="1482213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666750</xdr:colOff>
      <xdr:row>0</xdr:row>
      <xdr:rowOff>0</xdr:rowOff>
    </xdr:from>
    <xdr:to>
      <xdr:col>1</xdr:col>
      <xdr:colOff>636388</xdr:colOff>
      <xdr:row>1</xdr:row>
      <xdr:rowOff>276224</xdr:rowOff>
    </xdr:to>
    <xdr:pic>
      <xdr:nvPicPr>
        <xdr:cNvPr id="3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0"/>
          <a:ext cx="1026913" cy="838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cuevas\Documents\Enrique\Planeaci&#243;n%20para%20ISO%209001%20-%202015\Plan%20Estrat&#233;gico%20del%20Negoc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ppData\Local\Microsoft\Windows\Temporary%20Internet%20Files\Content.Outlook\1Q69SHO0\Matriz%20de%20An&#225;lisis%20de%20Riesgo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NE\AppData\Local\Microsoft\Windows\INetCache\Content.Outlook\RF15PAPT\ANALIS+&#236;S%20DE%20RIESGOS-OPORTUNIDADES_RECLUTAMIENTO%20Y%20SELECCION%20(00000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"/>
      <sheetName val="INTRO"/>
      <sheetName val="1"/>
      <sheetName val="1a"/>
      <sheetName val="2"/>
      <sheetName val="2a"/>
      <sheetName val="2b"/>
      <sheetName val="3"/>
      <sheetName val="3a"/>
      <sheetName val="3b"/>
      <sheetName val="3c"/>
      <sheetName val="4"/>
      <sheetName val="4a"/>
      <sheetName val="5"/>
      <sheetName val="5a"/>
      <sheetName val="6"/>
      <sheetName val="6a"/>
      <sheetName val="6b"/>
      <sheetName val="7"/>
      <sheetName val="7a"/>
      <sheetName val="7b"/>
      <sheetName val="CÁLCULOS"/>
    </sheetNames>
    <sheetDataSet>
      <sheetData sheetId="0">
        <row r="20">
          <cell r="J20" t="str">
            <v>MI EMPRESA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2">
          <cell r="B22">
            <v>1</v>
          </cell>
        </row>
        <row r="23">
          <cell r="B23">
            <v>2</v>
          </cell>
        </row>
        <row r="24">
          <cell r="B24">
            <v>3</v>
          </cell>
        </row>
        <row r="25">
          <cell r="B25">
            <v>4</v>
          </cell>
        </row>
        <row r="26">
          <cell r="B26">
            <v>5</v>
          </cell>
        </row>
        <row r="29">
          <cell r="B29">
            <v>1</v>
          </cell>
        </row>
        <row r="30">
          <cell r="B30">
            <v>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eración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ámetros de riesgo"/>
      <sheetName val="Matriz Riesgo y Op"/>
      <sheetName val="Ponderación"/>
      <sheetName val="E de efectividad Ri"/>
      <sheetName val="E de efectividad Op"/>
    </sheetNames>
    <sheetDataSet>
      <sheetData sheetId="0">
        <row r="27">
          <cell r="B27" t="str">
            <v>TRIVIAL</v>
          </cell>
          <cell r="C27" t="str">
            <v>VIGILARLO</v>
          </cell>
          <cell r="D27" t="str">
            <v>Control rutinario, no afecta la secuencia e integridad del proceso  y/o Partes Interesadas. Documentar las acciones de respuesta en la Evaluación de Efectividad de riesgos y oportunidades.</v>
          </cell>
          <cell r="H27" t="str">
            <v>LIMITADA</v>
          </cell>
          <cell r="I27" t="str">
            <v>A CONSIDERAR</v>
          </cell>
          <cell r="J27" t="str">
            <v>Oportunidad que genera un beneficio mínimo en el proceso y/o Partes Interesadas de la cual se espera un resultado inmediato. Documentar las acciones de respuesta en la Evaluación de Efectividad de riesgos y oportunidades.</v>
          </cell>
        </row>
        <row r="28">
          <cell r="B28" t="str">
            <v>TOLERABLE</v>
          </cell>
          <cell r="C28" t="str">
            <v>ASUMIRLO</v>
          </cell>
          <cell r="D28" t="str">
            <v>Monitorear el riesgo, afecta mínimamente la secuencia y la integridad del proceso. Documentar las acciones de respuesta en la Evaluación de Efectividad de riesgos y oportunidades.</v>
          </cell>
          <cell r="H28" t="str">
            <v>MEDIA</v>
          </cell>
          <cell r="I28" t="str">
            <v>ABORDAR</v>
          </cell>
          <cell r="J28" t="str">
            <v>Oportunidad con buena posibilidad de abordarse siempre y cuando se profundice en los 
beneficios esperados en el proceso de una o varias áreas  y/o Partes Interesadas de la cual 
se espera un resultado a corto plazo.Documentar las acciones de respuesta en la Evaluación de Efectividad de riesgos y oportunidades.</v>
          </cell>
        </row>
        <row r="29">
          <cell r="B29" t="str">
            <v>MODERADO</v>
          </cell>
          <cell r="C29" t="str">
            <v>CONTROLARLO</v>
          </cell>
          <cell r="D29" t="str">
            <v>Documentar las acciones de respuesta en la Evaluación de Efectividad de riesgos y oportunidades e incluir  controles permanentes ya que existe un riesgo moderado en la secuencia y la integridad del proceso y/o Partes Interesadas.</v>
          </cell>
          <cell r="H29" t="str">
            <v>POTENCIAL</v>
          </cell>
          <cell r="I29" t="str">
            <v>APROPIARSE</v>
          </cell>
          <cell r="J29" t="str">
    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    </cell>
        </row>
        <row r="30">
          <cell r="B30" t="str">
            <v>IMPORTANTE</v>
          </cell>
          <cell r="C30" t="str">
            <v>MINIMIZARLO</v>
          </cell>
          <cell r="D30" t="str">
            <v>Acción de contención inmediata, es importante generar una Cédula de no Conformidad eficaz y eficiente donde se realice un control específico y permanente ya que el riesgo es alto en la secuencia y la integridad del proceso  y/o Partes interesadas.</v>
          </cell>
          <cell r="H30" t="str">
            <v>SOBRESALIENTE</v>
          </cell>
          <cell r="I30" t="str">
            <v>EXPLOTARLA</v>
          </cell>
          <cell r="J30" t="str">
            <v>Oportunidad con beneficios claros, generales y específicos en el proceso de varias o todas las áreas  y/o Partes Interesadas de la cual se obtiene un resultado a corto, mediano y/o largo plazo. Documentar las acciones de respuesta en la Evaluación de Efectividad de riesgos y oportunidades.</v>
          </cell>
        </row>
        <row r="31">
          <cell r="B31" t="str">
            <v>INTOLERABLE</v>
          </cell>
          <cell r="C31" t="str">
            <v>ATENCIÓN INMEDIATA</v>
          </cell>
          <cell r="D31" t="str">
            <v>Acción de contención inmediata, es urgente generar una Cédula de no Conformidad y revisión del proceso (aplicar reingeniería si es necesario) eficaz y eficiente donde se realice un control específico y permanente ya que el riesgo es grave en la secuencia y la integridad del proceso  y/o Partes interesadas.</v>
          </cell>
        </row>
      </sheetData>
      <sheetData sheetId="1">
        <row r="8">
          <cell r="D8" t="str">
            <v>Baja</v>
          </cell>
          <cell r="G8" t="str">
            <v>Moderado</v>
          </cell>
        </row>
        <row r="13">
          <cell r="D13" t="str">
            <v>Baja</v>
          </cell>
          <cell r="G13" t="str">
            <v>Grave</v>
          </cell>
        </row>
        <row r="18">
          <cell r="D18" t="str">
            <v>Baja</v>
          </cell>
          <cell r="G18" t="str">
            <v>Moderado</v>
          </cell>
        </row>
        <row r="23">
          <cell r="D23" t="str">
            <v>Baja</v>
          </cell>
          <cell r="G23" t="str">
            <v>Grave</v>
          </cell>
        </row>
        <row r="28">
          <cell r="D28" t="str">
            <v>Baja</v>
          </cell>
          <cell r="G28" t="str">
            <v>Grave</v>
          </cell>
        </row>
        <row r="33">
          <cell r="D33" t="str">
            <v>Media</v>
          </cell>
          <cell r="G33" t="str">
            <v>Grave</v>
          </cell>
        </row>
        <row r="38">
          <cell r="D38" t="str">
            <v>Media</v>
          </cell>
          <cell r="G38" t="str">
            <v>Moderado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pageSetUpPr fitToPage="1"/>
  </sheetPr>
  <dimension ref="A2:N81"/>
  <sheetViews>
    <sheetView showGridLines="0" tabSelected="1" view="pageBreakPreview" zoomScale="55" zoomScaleNormal="90" zoomScaleSheetLayoutView="55" zoomScalePageLayoutView="80" workbookViewId="0">
      <selection activeCell="M39" sqref="M39"/>
    </sheetView>
  </sheetViews>
  <sheetFormatPr baseColWidth="10" defaultColWidth="0.5703125" defaultRowHeight="14.25" x14ac:dyDescent="0.25"/>
  <cols>
    <col min="1" max="1" width="19.5703125" style="7" customWidth="1"/>
    <col min="2" max="2" width="28.85546875" style="7" customWidth="1"/>
    <col min="3" max="3" width="46.42578125" style="7" customWidth="1"/>
    <col min="4" max="4" width="18.5703125" style="7" customWidth="1"/>
    <col min="5" max="6" width="46.42578125" style="7" customWidth="1"/>
    <col min="7" max="8" width="14.140625" style="7" customWidth="1"/>
    <col min="9" max="9" width="18.140625" style="7" customWidth="1"/>
    <col min="10" max="10" width="18.5703125" style="7" customWidth="1"/>
    <col min="11" max="11" width="20" style="7" customWidth="1"/>
    <col min="12" max="12" width="64.140625" style="8" customWidth="1"/>
    <col min="13" max="13" width="47.42578125" style="7" customWidth="1"/>
    <col min="14" max="14" width="27.42578125" style="7" customWidth="1"/>
    <col min="15" max="16384" width="0.5703125" style="7"/>
  </cols>
  <sheetData>
    <row r="2" spans="1:14" ht="57.75" customHeight="1" x14ac:dyDescent="0.25">
      <c r="A2" s="173"/>
      <c r="B2" s="174"/>
      <c r="C2" s="174"/>
      <c r="D2" s="178" t="s">
        <v>169</v>
      </c>
      <c r="E2" s="179"/>
      <c r="F2" s="179"/>
      <c r="G2" s="179"/>
      <c r="H2" s="179"/>
      <c r="I2" s="179"/>
      <c r="J2" s="179"/>
      <c r="K2" s="180"/>
      <c r="L2" s="86" t="s">
        <v>146</v>
      </c>
    </row>
    <row r="3" spans="1:14" ht="60" customHeight="1" x14ac:dyDescent="0.25">
      <c r="A3" s="173"/>
      <c r="B3" s="174"/>
      <c r="C3" s="174"/>
      <c r="D3" s="181" t="s">
        <v>166</v>
      </c>
      <c r="E3" s="182"/>
      <c r="F3" s="182"/>
      <c r="G3" s="182"/>
      <c r="H3" s="182"/>
      <c r="I3" s="182"/>
      <c r="J3" s="182"/>
      <c r="K3" s="182"/>
      <c r="L3" s="87" t="s">
        <v>147</v>
      </c>
    </row>
    <row r="4" spans="1:14" ht="33" customHeight="1" x14ac:dyDescent="0.35">
      <c r="A4" s="75"/>
      <c r="B4" s="88"/>
      <c r="C4" s="88"/>
      <c r="D4" s="89"/>
      <c r="E4" s="89"/>
      <c r="F4" s="89"/>
      <c r="G4" s="89"/>
      <c r="H4" s="89"/>
      <c r="I4" s="89"/>
      <c r="J4" s="89"/>
      <c r="K4" s="89"/>
      <c r="L4" s="89"/>
    </row>
    <row r="5" spans="1:14" ht="15" customHeight="1" x14ac:dyDescent="0.25">
      <c r="A5" s="183" t="s">
        <v>129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5"/>
    </row>
    <row r="6" spans="1:14" ht="15" customHeight="1" x14ac:dyDescent="0.25">
      <c r="A6" s="176" t="s">
        <v>85</v>
      </c>
      <c r="B6" s="177"/>
      <c r="C6" s="177"/>
      <c r="D6" s="177"/>
      <c r="E6" s="177"/>
      <c r="F6" s="177"/>
      <c r="G6" s="177"/>
      <c r="H6" s="177"/>
      <c r="I6" s="175" t="s">
        <v>86</v>
      </c>
      <c r="J6" s="175"/>
      <c r="K6" s="175"/>
      <c r="L6" s="193" t="s">
        <v>141</v>
      </c>
      <c r="M6" s="193"/>
      <c r="N6" s="193"/>
    </row>
    <row r="7" spans="1:14" ht="57.75" customHeight="1" x14ac:dyDescent="0.25">
      <c r="A7" s="90" t="s">
        <v>154</v>
      </c>
      <c r="B7" s="90" t="s">
        <v>87</v>
      </c>
      <c r="C7" s="90" t="s">
        <v>132</v>
      </c>
      <c r="D7" s="91" t="s">
        <v>133</v>
      </c>
      <c r="E7" s="91" t="s">
        <v>72</v>
      </c>
      <c r="F7" s="91" t="s">
        <v>73</v>
      </c>
      <c r="G7" s="91" t="s">
        <v>134</v>
      </c>
      <c r="H7" s="91" t="s">
        <v>139</v>
      </c>
      <c r="I7" s="91" t="s">
        <v>155</v>
      </c>
      <c r="J7" s="90" t="s">
        <v>30</v>
      </c>
      <c r="K7" s="90" t="s">
        <v>31</v>
      </c>
      <c r="L7" s="90" t="s">
        <v>67</v>
      </c>
      <c r="M7" s="90" t="s">
        <v>88</v>
      </c>
      <c r="N7" s="90" t="s">
        <v>90</v>
      </c>
    </row>
    <row r="8" spans="1:14" ht="22.5" customHeight="1" x14ac:dyDescent="0.25">
      <c r="A8" s="186" t="s">
        <v>128</v>
      </c>
      <c r="B8" s="144" t="s">
        <v>142</v>
      </c>
      <c r="C8" s="189" t="s">
        <v>150</v>
      </c>
      <c r="D8" s="171" t="s">
        <v>16</v>
      </c>
      <c r="E8" s="168" t="s">
        <v>189</v>
      </c>
      <c r="F8" s="168" t="s">
        <v>190</v>
      </c>
      <c r="G8" s="171" t="s">
        <v>14</v>
      </c>
      <c r="H8" s="171" t="s">
        <v>5</v>
      </c>
      <c r="I8" s="160">
        <f>IFERROR(VLOOKUP(H8,Naturaleza,2,FALSE)*VLOOKUP('[3]Matriz Riesgo y Op'!D8,Probabilidad,2,FALSE)*VLOOKUP('[3]Matriz Riesgo y Op'!G8,Impacto,2,FALSE),"")</f>
        <v>70</v>
      </c>
      <c r="J8" s="162" t="str">
        <f t="shared" ref="J8" si="0">IF(A8="Riesgo",IF(I8="","",IF(AND(I8&gt;0,I8&lt;200),"Trivial",IF(OR(I8=200,AND(I8&gt;200,I8&lt;400)),"Tolerable",IF(OR(I8=400,AND(I8&gt;400,I8&lt;600)),"Moderado",IF(OR(I8=600,AND(I8&gt;600,I8&lt;800)),"Importante",IF(OR(I8=800,I8&gt;800,I8&lt;1000,I8=1000),"Intolerable","")))))),IF(A8="Oportunidad",IF(I8="","",IF(AND(I8&gt;0,I8&lt;250),"Limitada",IF(OR(I8=250,AND(I8&gt;250,I8&lt;500)),"Media",IF(OR(I8=500,AND(I8&gt;500,I8&lt;750)),"Potencial",IF(OR(I8=750,AND(I8&gt;750,I8&lt;=1000)),"Sobresaliente",""))))),""))</f>
        <v>Trivial</v>
      </c>
      <c r="K8" s="147" t="str">
        <f>IFERROR(VLOOKUP(J8,'[3]Parámetros de riesgo'!$B$27:$C$31,2,FALSE),IFERROR(VLOOKUP(J8,'[3]Parámetros de riesgo'!$H$27:$I$30,2,FALSE),""))</f>
        <v>VIGILARLO</v>
      </c>
      <c r="L8" s="150" t="str">
        <f>IFERROR(VLOOKUP(K8,'[3]Parámetros de riesgo'!$C$27:$D$31,2,FALSE),IFERROR(VLOOKUP(K8,'[3]Parámetros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8" s="103" t="s">
        <v>218</v>
      </c>
      <c r="N8" s="95" t="s">
        <v>225</v>
      </c>
    </row>
    <row r="9" spans="1:14" ht="42.75" x14ac:dyDescent="0.25">
      <c r="A9" s="187"/>
      <c r="B9" s="145"/>
      <c r="C9" s="190"/>
      <c r="D9" s="172"/>
      <c r="E9" s="169"/>
      <c r="F9" s="169"/>
      <c r="G9" s="172"/>
      <c r="H9" s="172"/>
      <c r="I9" s="161"/>
      <c r="J9" s="163"/>
      <c r="K9" s="148"/>
      <c r="L9" s="151"/>
      <c r="M9" s="104" t="s">
        <v>219</v>
      </c>
      <c r="N9" s="95" t="s">
        <v>225</v>
      </c>
    </row>
    <row r="10" spans="1:14" ht="14.1" customHeight="1" x14ac:dyDescent="0.25">
      <c r="A10" s="187"/>
      <c r="B10" s="145"/>
      <c r="C10" s="190"/>
      <c r="D10" s="172"/>
      <c r="E10" s="169"/>
      <c r="F10" s="169"/>
      <c r="G10" s="172"/>
      <c r="H10" s="172"/>
      <c r="I10" s="161"/>
      <c r="J10" s="163"/>
      <c r="K10" s="148"/>
      <c r="L10" s="151"/>
      <c r="M10" s="74"/>
      <c r="N10" s="74"/>
    </row>
    <row r="11" spans="1:14" ht="9.75" customHeight="1" x14ac:dyDescent="0.25">
      <c r="A11" s="187"/>
      <c r="B11" s="145"/>
      <c r="C11" s="190"/>
      <c r="D11" s="172"/>
      <c r="E11" s="169"/>
      <c r="F11" s="169"/>
      <c r="G11" s="172"/>
      <c r="H11" s="172"/>
      <c r="I11" s="161"/>
      <c r="J11" s="163"/>
      <c r="K11" s="148"/>
      <c r="L11" s="151"/>
      <c r="M11" s="74"/>
      <c r="N11" s="74"/>
    </row>
    <row r="12" spans="1:14" ht="13.5" customHeight="1" x14ac:dyDescent="0.25">
      <c r="A12" s="188"/>
      <c r="B12" s="146"/>
      <c r="C12" s="191"/>
      <c r="D12" s="192"/>
      <c r="E12" s="170"/>
      <c r="F12" s="170"/>
      <c r="G12" s="172"/>
      <c r="H12" s="172"/>
      <c r="I12" s="161"/>
      <c r="J12" s="164"/>
      <c r="K12" s="149"/>
      <c r="L12" s="152"/>
      <c r="M12" s="74"/>
      <c r="N12" s="74"/>
    </row>
    <row r="13" spans="1:14" x14ac:dyDescent="0.25">
      <c r="A13" s="186" t="s">
        <v>128</v>
      </c>
      <c r="B13" s="141" t="s">
        <v>168</v>
      </c>
      <c r="C13" s="144" t="s">
        <v>165</v>
      </c>
      <c r="D13" s="204" t="s">
        <v>16</v>
      </c>
      <c r="E13" s="201" t="s">
        <v>188</v>
      </c>
      <c r="F13" s="201" t="s">
        <v>196</v>
      </c>
      <c r="G13" s="171" t="s">
        <v>14</v>
      </c>
      <c r="H13" s="171" t="s">
        <v>5</v>
      </c>
      <c r="I13" s="160">
        <f>IFERROR(VLOOKUP(H13,Naturaleza,2,FALSE)*VLOOKUP('[3]Matriz Riesgo y Op'!D13,Probabilidad,2,FALSE)*VLOOKUP('[3]Matriz Riesgo y Op'!G13,Impacto,2,FALSE),"")</f>
        <v>100</v>
      </c>
      <c r="J13" s="162" t="str">
        <f t="shared" ref="J13" si="1">IF(A13="Riesgo",IF(I13="","",IF(AND(I13&gt;0,I13&lt;200),"Trivial",IF(OR(I13=200,AND(I13&gt;200,I13&lt;400)),"Tolerable",IF(OR(I13=400,AND(I13&gt;400,I13&lt;600)),"Moderado",IF(OR(I13=600,AND(I13&gt;600,I13&lt;800)),"Importante",IF(OR(I13=800,I13&gt;800,I13&lt;1000,I13=1000),"Intolerable","")))))),IF(A13="Oportunidad",IF(I13="","",IF(AND(I13&gt;0,I13&lt;250),"Limitada",IF(OR(I13=250,AND(I13&gt;250,I13&lt;500)),"Media",IF(OR(I13=500,AND(I13&gt;500,I13&lt;750)),"Potencial",IF(OR(I13=750,AND(I13&gt;750,I13&lt;=1000)),"Sobresaliente",""))))),""))</f>
        <v>Trivial</v>
      </c>
      <c r="K13" s="147" t="str">
        <f>IFERROR(VLOOKUP(J13,'[3]Parámetros de riesgo'!$B$27:$C$31,2,FALSE),IFERROR(VLOOKUP(J13,'[3]Parámetros de riesgo'!$H$27:$I$30,2,FALSE),""))</f>
        <v>VIGILARLO</v>
      </c>
      <c r="L13" s="150" t="str">
        <f>IFERROR(VLOOKUP(K13,'[3]Parámetros de riesgo'!$C$27:$D$31,2,FALSE),IFERROR(VLOOKUP(K13,'[3]Parámetros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13" s="104" t="s">
        <v>220</v>
      </c>
      <c r="N13" s="95" t="s">
        <v>225</v>
      </c>
    </row>
    <row r="14" spans="1:14" ht="57.75" customHeight="1" x14ac:dyDescent="0.25">
      <c r="A14" s="187"/>
      <c r="B14" s="142"/>
      <c r="C14" s="145"/>
      <c r="D14" s="142"/>
      <c r="E14" s="169"/>
      <c r="F14" s="169"/>
      <c r="G14" s="172"/>
      <c r="H14" s="172"/>
      <c r="I14" s="161"/>
      <c r="J14" s="163"/>
      <c r="K14" s="148"/>
      <c r="L14" s="151"/>
      <c r="M14" s="103" t="s">
        <v>221</v>
      </c>
      <c r="N14" s="95" t="s">
        <v>225</v>
      </c>
    </row>
    <row r="15" spans="1:14" ht="42.75" x14ac:dyDescent="0.25">
      <c r="A15" s="187"/>
      <c r="B15" s="142"/>
      <c r="C15" s="145"/>
      <c r="D15" s="142"/>
      <c r="E15" s="169"/>
      <c r="F15" s="169"/>
      <c r="G15" s="172"/>
      <c r="H15" s="172"/>
      <c r="I15" s="161"/>
      <c r="J15" s="163"/>
      <c r="K15" s="148"/>
      <c r="L15" s="151"/>
      <c r="M15" s="104" t="s">
        <v>222</v>
      </c>
      <c r="N15" s="95" t="s">
        <v>225</v>
      </c>
    </row>
    <row r="16" spans="1:14" ht="14.1" hidden="1" customHeight="1" x14ac:dyDescent="0.25">
      <c r="A16" s="187"/>
      <c r="B16" s="142"/>
      <c r="C16" s="145"/>
      <c r="D16" s="142"/>
      <c r="E16" s="169"/>
      <c r="F16" s="169"/>
      <c r="G16" s="172"/>
      <c r="H16" s="172"/>
      <c r="I16" s="161"/>
      <c r="J16" s="163"/>
      <c r="K16" s="148"/>
      <c r="L16" s="151"/>
      <c r="M16" s="74"/>
      <c r="N16" s="95" t="s">
        <v>151</v>
      </c>
    </row>
    <row r="17" spans="1:14" ht="14.1" hidden="1" customHeight="1" x14ac:dyDescent="0.25">
      <c r="A17" s="188"/>
      <c r="B17" s="143"/>
      <c r="C17" s="146"/>
      <c r="D17" s="205"/>
      <c r="E17" s="170"/>
      <c r="F17" s="170"/>
      <c r="G17" s="172"/>
      <c r="H17" s="172"/>
      <c r="I17" s="161"/>
      <c r="J17" s="164"/>
      <c r="K17" s="149"/>
      <c r="L17" s="152"/>
      <c r="M17" s="74"/>
      <c r="N17" s="95" t="s">
        <v>151</v>
      </c>
    </row>
    <row r="18" spans="1:14" ht="66" customHeight="1" x14ac:dyDescent="0.25">
      <c r="A18" s="186" t="s">
        <v>128</v>
      </c>
      <c r="B18" s="141" t="s">
        <v>143</v>
      </c>
      <c r="C18" s="144" t="s">
        <v>160</v>
      </c>
      <c r="D18" s="171" t="s">
        <v>16</v>
      </c>
      <c r="E18" s="202" t="s">
        <v>197</v>
      </c>
      <c r="F18" s="153" t="s">
        <v>191</v>
      </c>
      <c r="G18" s="171" t="s">
        <v>4</v>
      </c>
      <c r="H18" s="171" t="s">
        <v>5</v>
      </c>
      <c r="I18" s="160">
        <f>IFERROR(VLOOKUP(H18,Naturaleza,2,FALSE)*VLOOKUP('[3]Matriz Riesgo y Op'!D18,Probabilidad,2,FALSE)*VLOOKUP('[3]Matriz Riesgo y Op'!G18,Impacto,2,FALSE),"")</f>
        <v>70</v>
      </c>
      <c r="J18" s="162" t="str">
        <f t="shared" ref="J18" si="2">IF(A18="Riesgo",IF(I18="","",IF(AND(I18&gt;0,I18&lt;200),"Trivial",IF(OR(I18=200,AND(I18&gt;200,I18&lt;400)),"Tolerable",IF(OR(I18=400,AND(I18&gt;400,I18&lt;600)),"Moderado",IF(OR(I18=600,AND(I18&gt;600,I18&lt;800)),"Importante",IF(OR(I18=800,I18&gt;800,I18&lt;1000,I18=1000),"Intolerable","")))))),IF(A18="Oportunidad",IF(I18="","",IF(AND(I18&gt;0,I18&lt;250),"Limitada",IF(OR(I18=250,AND(I18&gt;250,I18&lt;500)),"Media",IF(OR(I18=500,AND(I18&gt;500,I18&lt;750)),"Potencial",IF(OR(I18=750,AND(I18&gt;750,I18&lt;=1000)),"Sobresaliente",""))))),""))</f>
        <v>Trivial</v>
      </c>
      <c r="K18" s="147" t="str">
        <f>IFERROR(VLOOKUP(J18,'[3]Parámetros de riesgo'!$B$27:$C$31,2,FALSE),IFERROR(VLOOKUP(J18,'[3]Parámetros de riesgo'!$H$27:$I$30,2,FALSE),""))</f>
        <v>VIGILARLO</v>
      </c>
      <c r="L18" s="150" t="str">
        <f>IFERROR(VLOOKUP(K18,'[3]Parámetros de riesgo'!$C$27:$D$31,2,FALSE),IFERROR(VLOOKUP(K18,'[3]Parámetros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18" s="103" t="s">
        <v>223</v>
      </c>
      <c r="N18" s="95" t="s">
        <v>225</v>
      </c>
    </row>
    <row r="19" spans="1:14" ht="14.1" customHeight="1" x14ac:dyDescent="0.25">
      <c r="A19" s="187"/>
      <c r="B19" s="142"/>
      <c r="C19" s="145"/>
      <c r="D19" s="172"/>
      <c r="E19" s="203"/>
      <c r="F19" s="154"/>
      <c r="G19" s="172"/>
      <c r="H19" s="172"/>
      <c r="I19" s="161"/>
      <c r="J19" s="163"/>
      <c r="K19" s="148"/>
      <c r="L19" s="151"/>
      <c r="M19" s="74"/>
      <c r="N19" s="74"/>
    </row>
    <row r="20" spans="1:14" ht="14.1" customHeight="1" x14ac:dyDescent="0.25">
      <c r="A20" s="187"/>
      <c r="B20" s="142"/>
      <c r="C20" s="145"/>
      <c r="D20" s="172"/>
      <c r="E20" s="203"/>
      <c r="F20" s="154"/>
      <c r="G20" s="172"/>
      <c r="H20" s="172"/>
      <c r="I20" s="161"/>
      <c r="J20" s="163"/>
      <c r="K20" s="148"/>
      <c r="L20" s="151"/>
      <c r="M20" s="74"/>
      <c r="N20" s="74"/>
    </row>
    <row r="21" spans="1:14" ht="14.1" customHeight="1" x14ac:dyDescent="0.25">
      <c r="A21" s="187"/>
      <c r="B21" s="142"/>
      <c r="C21" s="145"/>
      <c r="D21" s="172"/>
      <c r="E21" s="203"/>
      <c r="F21" s="154"/>
      <c r="G21" s="172"/>
      <c r="H21" s="172"/>
      <c r="I21" s="161"/>
      <c r="J21" s="163"/>
      <c r="K21" s="148"/>
      <c r="L21" s="151"/>
      <c r="M21" s="74"/>
      <c r="N21" s="74"/>
    </row>
    <row r="22" spans="1:14" x14ac:dyDescent="0.25">
      <c r="A22" s="188"/>
      <c r="B22" s="143"/>
      <c r="C22" s="146"/>
      <c r="D22" s="192"/>
      <c r="E22" s="203"/>
      <c r="F22" s="154"/>
      <c r="G22" s="172"/>
      <c r="H22" s="172"/>
      <c r="I22" s="161"/>
      <c r="J22" s="164"/>
      <c r="K22" s="149"/>
      <c r="L22" s="152"/>
      <c r="M22" s="74"/>
      <c r="N22" s="74"/>
    </row>
    <row r="23" spans="1:14" ht="42.75" x14ac:dyDescent="0.25">
      <c r="A23" s="186" t="s">
        <v>128</v>
      </c>
      <c r="B23" s="144" t="s">
        <v>198</v>
      </c>
      <c r="C23" s="144" t="s">
        <v>199</v>
      </c>
      <c r="D23" s="171" t="s">
        <v>16</v>
      </c>
      <c r="E23" s="153" t="s">
        <v>200</v>
      </c>
      <c r="F23" s="165" t="s">
        <v>192</v>
      </c>
      <c r="G23" s="171" t="s">
        <v>14</v>
      </c>
      <c r="H23" s="171" t="s">
        <v>5</v>
      </c>
      <c r="I23" s="160">
        <f>IFERROR(VLOOKUP(H23,Naturaleza,2,FALSE)*VLOOKUP('[3]Matriz Riesgo y Op'!D23,Probabilidad,2,FALSE)*VLOOKUP('[3]Matriz Riesgo y Op'!G23,Impacto,2,FALSE),"")</f>
        <v>100</v>
      </c>
      <c r="J23" s="162" t="str">
        <f t="shared" ref="J23" si="3">IF(A23="Riesgo",IF(I23="","",IF(AND(I23&gt;0,I23&lt;200),"Trivial",IF(OR(I23=200,AND(I23&gt;200,I23&lt;400)),"Tolerable",IF(OR(I23=400,AND(I23&gt;400,I23&lt;600)),"Moderado",IF(OR(I23=600,AND(I23&gt;600,I23&lt;800)),"Importante",IF(OR(I23=800,I23&gt;800,I23&lt;1000,I23=1000),"Intolerable","")))))),IF(A23="Oportunidad",IF(I23="","",IF(AND(I23&gt;0,I23&lt;250),"Limitada",IF(OR(I23=250,AND(I23&gt;250,I23&lt;500)),"Media",IF(OR(I23=500,AND(I23&gt;500,I23&lt;750)),"Potencial",IF(OR(I23=750,AND(I23&gt;750,I23&lt;=1000)),"Sobresaliente",""))))),""))</f>
        <v>Trivial</v>
      </c>
      <c r="K23" s="147" t="str">
        <f>IFERROR(VLOOKUP(J23,'[3]Parámetros de riesgo'!$B$27:$C$31,2,FALSE),IFERROR(VLOOKUP(J23,'[3]Parámetros de riesgo'!$H$27:$I$30,2,FALSE),""))</f>
        <v>VIGILARLO</v>
      </c>
      <c r="L23" s="150" t="str">
        <f>IFERROR(VLOOKUP(K23,'[3]Parámetros de riesgo'!$C$27:$D$31,2,FALSE),IFERROR(VLOOKUP(K23,'[3]Parámetros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23" s="103" t="s">
        <v>224</v>
      </c>
      <c r="N23" s="95" t="s">
        <v>225</v>
      </c>
    </row>
    <row r="24" spans="1:14" ht="14.1" customHeight="1" x14ac:dyDescent="0.25">
      <c r="A24" s="187"/>
      <c r="B24" s="145"/>
      <c r="C24" s="145"/>
      <c r="D24" s="172"/>
      <c r="E24" s="154"/>
      <c r="F24" s="166"/>
      <c r="G24" s="172"/>
      <c r="H24" s="172"/>
      <c r="I24" s="161"/>
      <c r="J24" s="163"/>
      <c r="K24" s="148"/>
      <c r="L24" s="151"/>
      <c r="M24" s="74"/>
      <c r="N24" s="95"/>
    </row>
    <row r="25" spans="1:14" ht="14.1" customHeight="1" x14ac:dyDescent="0.25">
      <c r="A25" s="187"/>
      <c r="B25" s="145"/>
      <c r="C25" s="145"/>
      <c r="D25" s="172"/>
      <c r="E25" s="154"/>
      <c r="F25" s="166"/>
      <c r="G25" s="172"/>
      <c r="H25" s="172"/>
      <c r="I25" s="161"/>
      <c r="J25" s="163"/>
      <c r="K25" s="148"/>
      <c r="L25" s="151"/>
      <c r="M25" s="74"/>
      <c r="N25" s="74"/>
    </row>
    <row r="26" spans="1:14" ht="14.1" customHeight="1" x14ac:dyDescent="0.25">
      <c r="A26" s="187"/>
      <c r="B26" s="145"/>
      <c r="C26" s="145"/>
      <c r="D26" s="172"/>
      <c r="E26" s="154"/>
      <c r="F26" s="166"/>
      <c r="G26" s="172"/>
      <c r="H26" s="172"/>
      <c r="I26" s="161"/>
      <c r="J26" s="163"/>
      <c r="K26" s="148"/>
      <c r="L26" s="151"/>
      <c r="M26" s="74"/>
      <c r="N26" s="74"/>
    </row>
    <row r="27" spans="1:14" ht="14.1" customHeight="1" x14ac:dyDescent="0.25">
      <c r="A27" s="188"/>
      <c r="B27" s="146"/>
      <c r="C27" s="146"/>
      <c r="D27" s="192"/>
      <c r="E27" s="154"/>
      <c r="F27" s="167"/>
      <c r="G27" s="172"/>
      <c r="H27" s="172"/>
      <c r="I27" s="161"/>
      <c r="J27" s="164"/>
      <c r="K27" s="149"/>
      <c r="L27" s="152"/>
      <c r="M27" s="74"/>
      <c r="N27" s="74"/>
    </row>
    <row r="28" spans="1:14" ht="14.1" customHeight="1" x14ac:dyDescent="0.25">
      <c r="A28" s="186" t="s">
        <v>128</v>
      </c>
      <c r="B28" s="144" t="s">
        <v>144</v>
      </c>
      <c r="C28" s="144" t="s">
        <v>161</v>
      </c>
      <c r="D28" s="171" t="s">
        <v>16</v>
      </c>
      <c r="E28" s="153" t="s">
        <v>210</v>
      </c>
      <c r="F28" s="153" t="s">
        <v>193</v>
      </c>
      <c r="G28" s="155" t="s">
        <v>14</v>
      </c>
      <c r="H28" s="171" t="s">
        <v>5</v>
      </c>
      <c r="I28" s="160">
        <f>IFERROR(VLOOKUP(H28,Naturaleza,2,FALSE)*VLOOKUP('[3]Matriz Riesgo y Op'!D28,Probabilidad,2,FALSE)*VLOOKUP('[3]Matriz Riesgo y Op'!G28,Impacto,2,FALSE),"")</f>
        <v>100</v>
      </c>
      <c r="J28" s="162" t="str">
        <f t="shared" ref="J28" si="4">IF(A28="Riesgo",IF(I28="","",IF(AND(I28&gt;0,I28&lt;200),"Trivial",IF(OR(I28=200,AND(I28&gt;200,I28&lt;400)),"Tolerable",IF(OR(I28=400,AND(I28&gt;400,I28&lt;600)),"Moderado",IF(OR(I28=600,AND(I28&gt;600,I28&lt;800)),"Importante",IF(OR(I28=800,I28&gt;800,I28&lt;1000,I28=1000),"Intolerable","")))))),IF(A28="Oportunidad",IF(I28="","",IF(AND(I28&gt;0,I28&lt;250),"Limitada",IF(OR(I28=250,AND(I28&gt;250,I28&lt;500)),"Media",IF(OR(I28=500,AND(I28&gt;500,I28&lt;750)),"Potencial",IF(OR(I28=750,AND(I28&gt;750,I28&lt;=1000)),"Sobresaliente",""))))),""))</f>
        <v>Trivial</v>
      </c>
      <c r="K28" s="147" t="str">
        <f>IFERROR(VLOOKUP(J28,'[3]Parámetros de riesgo'!$B$27:$C$31,2,FALSE),IFERROR(VLOOKUP(J28,'[3]Parámetros de riesgo'!$H$27:$I$30,2,FALSE),""))</f>
        <v>VIGILARLO</v>
      </c>
      <c r="L28" s="150" t="str">
        <f>IFERROR(VLOOKUP(K28,'[3]Parámetros de riesgo'!$C$27:$D$31,2,FALSE),IFERROR(VLOOKUP(K28,'[3]Parámetros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28" s="103" t="s">
        <v>226</v>
      </c>
      <c r="N28" s="95" t="s">
        <v>225</v>
      </c>
    </row>
    <row r="29" spans="1:14" ht="14.1" customHeight="1" x14ac:dyDescent="0.25">
      <c r="A29" s="187"/>
      <c r="B29" s="145"/>
      <c r="C29" s="145"/>
      <c r="D29" s="172"/>
      <c r="E29" s="154"/>
      <c r="F29" s="154"/>
      <c r="G29" s="156"/>
      <c r="H29" s="172"/>
      <c r="I29" s="161"/>
      <c r="J29" s="163"/>
      <c r="K29" s="148"/>
      <c r="L29" s="151"/>
      <c r="M29" s="74"/>
      <c r="N29" s="74"/>
    </row>
    <row r="30" spans="1:14" ht="14.1" customHeight="1" x14ac:dyDescent="0.25">
      <c r="A30" s="187"/>
      <c r="B30" s="145"/>
      <c r="C30" s="145"/>
      <c r="D30" s="172"/>
      <c r="E30" s="154"/>
      <c r="F30" s="154"/>
      <c r="G30" s="156"/>
      <c r="H30" s="172"/>
      <c r="I30" s="161"/>
      <c r="J30" s="163"/>
      <c r="K30" s="148"/>
      <c r="L30" s="151"/>
      <c r="M30" s="74"/>
      <c r="N30" s="74"/>
    </row>
    <row r="31" spans="1:14" ht="14.1" customHeight="1" x14ac:dyDescent="0.25">
      <c r="A31" s="187"/>
      <c r="B31" s="145"/>
      <c r="C31" s="145"/>
      <c r="D31" s="172"/>
      <c r="E31" s="154"/>
      <c r="F31" s="154"/>
      <c r="G31" s="156"/>
      <c r="H31" s="172"/>
      <c r="I31" s="161"/>
      <c r="J31" s="163"/>
      <c r="K31" s="148"/>
      <c r="L31" s="151"/>
      <c r="M31" s="74"/>
      <c r="N31" s="74"/>
    </row>
    <row r="32" spans="1:14" ht="14.1" customHeight="1" x14ac:dyDescent="0.25">
      <c r="A32" s="188"/>
      <c r="B32" s="146"/>
      <c r="C32" s="146"/>
      <c r="D32" s="192"/>
      <c r="E32" s="154"/>
      <c r="F32" s="154"/>
      <c r="G32" s="156"/>
      <c r="H32" s="172"/>
      <c r="I32" s="161"/>
      <c r="J32" s="164"/>
      <c r="K32" s="149"/>
      <c r="L32" s="152"/>
      <c r="M32" s="74"/>
      <c r="N32" s="74"/>
    </row>
    <row r="33" spans="1:14" ht="14.1" customHeight="1" x14ac:dyDescent="0.25">
      <c r="A33" s="186" t="s">
        <v>128</v>
      </c>
      <c r="B33" s="144" t="s">
        <v>145</v>
      </c>
      <c r="C33" s="144" t="s">
        <v>152</v>
      </c>
      <c r="D33" s="171" t="s">
        <v>16</v>
      </c>
      <c r="E33" s="153" t="s">
        <v>201</v>
      </c>
      <c r="F33" s="153" t="s">
        <v>194</v>
      </c>
      <c r="G33" s="171" t="s">
        <v>14</v>
      </c>
      <c r="H33" s="171" t="s">
        <v>5</v>
      </c>
      <c r="I33" s="160">
        <f>IFERROR(VLOOKUP(H33,Naturaleza,2,FALSE)*VLOOKUP('[3]Matriz Riesgo y Op'!D33,Probabilidad,2,FALSE)*VLOOKUP('[3]Matriz Riesgo y Op'!G33,Impacto,2,FALSE),"")</f>
        <v>700</v>
      </c>
      <c r="J33" s="162" t="str">
        <f t="shared" ref="J33" si="5">IF(A33="Riesgo",IF(I33="","",IF(AND(I33&gt;0,I33&lt;200),"Trivial",IF(OR(I33=200,AND(I33&gt;200,I33&lt;400)),"Tolerable",IF(OR(I33=400,AND(I33&gt;400,I33&lt;600)),"Moderado",IF(OR(I33=600,AND(I33&gt;600,I33&lt;800)),"Importante",IF(OR(I33=800,I33&gt;800,I33&lt;1000,I33=1000),"Intolerable","")))))),IF(A33="Oportunidad",IF(I33="","",IF(AND(I33&gt;0,I33&lt;250),"Limitada",IF(OR(I33=250,AND(I33&gt;250,I33&lt;500)),"Media",IF(OR(I33=500,AND(I33&gt;500,I33&lt;750)),"Potencial",IF(OR(I33=750,AND(I33&gt;750,I33&lt;=1000)),"Sobresaliente",""))))),""))</f>
        <v>Importante</v>
      </c>
      <c r="K33" s="147" t="str">
        <f>IFERROR(VLOOKUP(J33,'[3]Parámetros de riesgo'!$B$27:$C$31,2,FALSE),IFERROR(VLOOKUP(J33,'[3]Parámetros de riesgo'!$H$27:$I$30,2,FALSE),""))</f>
        <v>MINIMIZARLO</v>
      </c>
      <c r="L33" s="150" t="str">
        <f>IFERROR(VLOOKUP(K33,'[3]Parámetros de riesgo'!$C$27:$D$31,2,FALSE),IFERROR(VLOOKUP(K33,'[3]Parámetros de riesgo'!$I$27:$J$30,2,FALSE),""))</f>
        <v>Acción de contención inmediata, es importante generar una Cédula de no Conformidad eficaz y eficiente donde se realice un control específico y permanente ya que el riesgo es alto en la secuencia y la integridad del proceso  y/o Partes interesadas.</v>
      </c>
      <c r="M33" s="8" t="s">
        <v>227</v>
      </c>
      <c r="N33" s="95" t="s">
        <v>225</v>
      </c>
    </row>
    <row r="34" spans="1:14" ht="14.1" customHeight="1" x14ac:dyDescent="0.25">
      <c r="A34" s="187"/>
      <c r="B34" s="145"/>
      <c r="C34" s="145"/>
      <c r="D34" s="172"/>
      <c r="E34" s="154"/>
      <c r="F34" s="154"/>
      <c r="G34" s="172"/>
      <c r="H34" s="172"/>
      <c r="I34" s="161"/>
      <c r="J34" s="163"/>
      <c r="K34" s="148"/>
      <c r="L34" s="151"/>
      <c r="M34" s="95"/>
      <c r="N34" s="95"/>
    </row>
    <row r="35" spans="1:14" ht="14.1" customHeight="1" x14ac:dyDescent="0.25">
      <c r="A35" s="187"/>
      <c r="B35" s="145"/>
      <c r="C35" s="145"/>
      <c r="D35" s="172"/>
      <c r="E35" s="154"/>
      <c r="F35" s="154"/>
      <c r="G35" s="172"/>
      <c r="H35" s="172"/>
      <c r="I35" s="161"/>
      <c r="J35" s="163"/>
      <c r="K35" s="148"/>
      <c r="L35" s="151"/>
      <c r="M35" s="74"/>
      <c r="N35" s="95"/>
    </row>
    <row r="36" spans="1:14" ht="14.1" customHeight="1" x14ac:dyDescent="0.25">
      <c r="A36" s="187"/>
      <c r="B36" s="145"/>
      <c r="C36" s="145"/>
      <c r="D36" s="172"/>
      <c r="E36" s="154"/>
      <c r="F36" s="154"/>
      <c r="G36" s="172"/>
      <c r="H36" s="172"/>
      <c r="I36" s="161"/>
      <c r="J36" s="163"/>
      <c r="K36" s="148"/>
      <c r="L36" s="151"/>
      <c r="M36" s="74"/>
      <c r="N36" s="96"/>
    </row>
    <row r="37" spans="1:14" ht="14.1" customHeight="1" x14ac:dyDescent="0.25">
      <c r="A37" s="188"/>
      <c r="B37" s="146"/>
      <c r="C37" s="146"/>
      <c r="D37" s="192"/>
      <c r="E37" s="154"/>
      <c r="F37" s="154"/>
      <c r="G37" s="172"/>
      <c r="H37" s="172"/>
      <c r="I37" s="161"/>
      <c r="J37" s="164"/>
      <c r="K37" s="149"/>
      <c r="L37" s="152"/>
      <c r="M37" s="74"/>
      <c r="N37" s="96"/>
    </row>
    <row r="38" spans="1:14" ht="28.5" x14ac:dyDescent="0.25">
      <c r="A38" s="186" t="s">
        <v>128</v>
      </c>
      <c r="B38" s="144" t="s">
        <v>179</v>
      </c>
      <c r="C38" s="189" t="s">
        <v>180</v>
      </c>
      <c r="D38" s="171" t="s">
        <v>16</v>
      </c>
      <c r="E38" s="202" t="s">
        <v>187</v>
      </c>
      <c r="F38" s="153" t="s">
        <v>195</v>
      </c>
      <c r="G38" s="171" t="s">
        <v>14</v>
      </c>
      <c r="H38" s="171" t="s">
        <v>5</v>
      </c>
      <c r="I38" s="160">
        <f>IFERROR(VLOOKUP(H38,Naturaleza,2,FALSE)*VLOOKUP('[3]Matriz Riesgo y Op'!D38,Probabilidad,2,FALSE)*VLOOKUP('[3]Matriz Riesgo y Op'!G38,Impacto,2,FALSE),"")</f>
        <v>490</v>
      </c>
      <c r="J38" s="162" t="str">
        <f t="shared" ref="J38" si="6">IF(A38="Riesgo",IF(I38="","",IF(AND(I38&gt;0,I38&lt;200),"Trivial",IF(OR(I38=200,AND(I38&gt;200,I38&lt;400)),"Tolerable",IF(OR(I38=400,AND(I38&gt;400,I38&lt;600)),"Moderado",IF(OR(I38=600,AND(I38&gt;600,I38&lt;800)),"Importante",IF(OR(I38=800,I38&gt;800,I38&lt;1000,I38=1000),"Intolerable","")))))),IF(A38="Oportunidad",IF(I38="","",IF(AND(I38&gt;0,I38&lt;250),"Limitada",IF(OR(I38=250,AND(I38&gt;250,I38&lt;500)),"Media",IF(OR(I38=500,AND(I38&gt;500,I38&lt;750)),"Potencial",IF(OR(I38=750,AND(I38&gt;750,I38&lt;=1000)),"Sobresaliente",""))))),""))</f>
        <v>Moderado</v>
      </c>
      <c r="K38" s="147" t="str">
        <f>IFERROR(VLOOKUP(J38,'[3]Parámetros de riesgo'!$B$27:$C$31,2,FALSE),IFERROR(VLOOKUP(J38,'[3]Parámetros de riesgo'!$H$27:$I$30,2,FALSE),""))</f>
        <v>CONTROLARLO</v>
      </c>
      <c r="L38" s="150" t="str">
        <f>IFERROR(VLOOKUP(K38,'[3]Parámetros de riesgo'!$C$27:$D$31,2,FALSE),IFERROR(VLOOKUP(K38,'[3]Parámetros de riesgo'!$I$27:$J$30,2,FALSE),""))</f>
        <v>Documentar las acciones de respuesta en la Evaluación de Efectividad de riesgos y oportunidades e incluir  controles permanentes ya que existe un riesgo moderado en la secuencia y la integridad del proceso y/o Partes Interesadas.</v>
      </c>
      <c r="M38" s="103" t="s">
        <v>228</v>
      </c>
      <c r="N38" s="95" t="s">
        <v>225</v>
      </c>
    </row>
    <row r="39" spans="1:14" ht="28.5" x14ac:dyDescent="0.25">
      <c r="A39" s="187"/>
      <c r="B39" s="145"/>
      <c r="C39" s="190"/>
      <c r="D39" s="172"/>
      <c r="E39" s="203"/>
      <c r="F39" s="154"/>
      <c r="G39" s="172"/>
      <c r="H39" s="172"/>
      <c r="I39" s="161"/>
      <c r="J39" s="163"/>
      <c r="K39" s="148"/>
      <c r="L39" s="151"/>
      <c r="M39" s="104" t="s">
        <v>229</v>
      </c>
      <c r="N39" s="95" t="s">
        <v>225</v>
      </c>
    </row>
    <row r="40" spans="1:14" ht="24.6" customHeight="1" x14ac:dyDescent="0.25">
      <c r="A40" s="187"/>
      <c r="B40" s="145"/>
      <c r="C40" s="190"/>
      <c r="D40" s="172"/>
      <c r="E40" s="203"/>
      <c r="F40" s="154"/>
      <c r="G40" s="172"/>
      <c r="H40" s="172"/>
      <c r="I40" s="161"/>
      <c r="J40" s="163"/>
      <c r="K40" s="148"/>
      <c r="L40" s="151"/>
      <c r="M40" s="74"/>
      <c r="N40" s="96"/>
    </row>
    <row r="41" spans="1:14" ht="24.75" customHeight="1" x14ac:dyDescent="0.25">
      <c r="A41" s="187"/>
      <c r="B41" s="145"/>
      <c r="C41" s="190"/>
      <c r="D41" s="172"/>
      <c r="E41" s="203"/>
      <c r="F41" s="154"/>
      <c r="G41" s="172"/>
      <c r="H41" s="172"/>
      <c r="I41" s="161"/>
      <c r="J41" s="163"/>
      <c r="K41" s="148"/>
      <c r="L41" s="151"/>
      <c r="M41" s="74"/>
      <c r="N41" s="96"/>
    </row>
    <row r="42" spans="1:14" ht="24" hidden="1" customHeight="1" x14ac:dyDescent="0.25">
      <c r="A42" s="188"/>
      <c r="B42" s="146"/>
      <c r="C42" s="191"/>
      <c r="D42" s="192"/>
      <c r="E42" s="203"/>
      <c r="F42" s="154"/>
      <c r="G42" s="172"/>
      <c r="H42" s="172"/>
      <c r="I42" s="161"/>
      <c r="J42" s="164"/>
      <c r="K42" s="149"/>
      <c r="L42" s="152"/>
      <c r="M42" s="74"/>
      <c r="N42" s="96"/>
    </row>
    <row r="43" spans="1:14" ht="14.1" customHeight="1" x14ac:dyDescent="0.25">
      <c r="A43" s="72"/>
      <c r="B43" s="72"/>
      <c r="C43" s="72"/>
      <c r="D43" s="73"/>
      <c r="E43" s="73"/>
      <c r="F43" s="73"/>
      <c r="G43" s="73"/>
      <c r="H43" s="73"/>
      <c r="I43" s="92"/>
      <c r="J43" s="75"/>
      <c r="K43" s="75"/>
      <c r="L43" s="102"/>
      <c r="M43" s="75"/>
      <c r="N43" s="75"/>
    </row>
    <row r="44" spans="1:14" ht="30" customHeight="1" x14ac:dyDescent="0.25">
      <c r="A44" s="183" t="s">
        <v>130</v>
      </c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5"/>
    </row>
    <row r="45" spans="1:14" ht="15" customHeight="1" x14ac:dyDescent="0.25">
      <c r="A45" s="199" t="s">
        <v>85</v>
      </c>
      <c r="B45" s="200"/>
      <c r="C45" s="200"/>
      <c r="D45" s="200"/>
      <c r="E45" s="200"/>
      <c r="F45" s="200"/>
      <c r="G45" s="200"/>
      <c r="H45" s="200"/>
      <c r="I45" s="197" t="s">
        <v>86</v>
      </c>
      <c r="J45" s="197"/>
      <c r="K45" s="197"/>
      <c r="L45" s="198" t="s">
        <v>141</v>
      </c>
      <c r="M45" s="198"/>
      <c r="N45" s="198"/>
    </row>
    <row r="46" spans="1:14" ht="66" customHeight="1" x14ac:dyDescent="0.25">
      <c r="A46" s="91" t="s">
        <v>162</v>
      </c>
      <c r="B46" s="91" t="s">
        <v>87</v>
      </c>
      <c r="C46" s="91" t="s">
        <v>140</v>
      </c>
      <c r="D46" s="91" t="s">
        <v>135</v>
      </c>
      <c r="E46" s="91" t="s">
        <v>136</v>
      </c>
      <c r="F46" s="90" t="s">
        <v>137</v>
      </c>
      <c r="G46" s="90" t="s">
        <v>138</v>
      </c>
      <c r="H46" s="91" t="s">
        <v>163</v>
      </c>
      <c r="I46" s="90" t="s">
        <v>155</v>
      </c>
      <c r="J46" s="90" t="s">
        <v>30</v>
      </c>
      <c r="K46" s="93" t="s">
        <v>31</v>
      </c>
      <c r="L46" s="90" t="s">
        <v>67</v>
      </c>
      <c r="M46" s="90" t="s">
        <v>88</v>
      </c>
      <c r="N46" s="90" t="s">
        <v>90</v>
      </c>
    </row>
    <row r="47" spans="1:14" ht="28.5" x14ac:dyDescent="0.25">
      <c r="A47" s="138" t="s">
        <v>127</v>
      </c>
      <c r="B47" s="144" t="s">
        <v>142</v>
      </c>
      <c r="C47" s="138" t="s">
        <v>181</v>
      </c>
      <c r="D47" s="157" t="s">
        <v>16</v>
      </c>
      <c r="E47" s="194" t="s">
        <v>186</v>
      </c>
      <c r="F47" s="153" t="s">
        <v>202</v>
      </c>
      <c r="G47" s="155" t="s">
        <v>13</v>
      </c>
      <c r="H47" s="157" t="s">
        <v>5</v>
      </c>
      <c r="I47" s="160">
        <f>IFERROR(VLOOKUP(H47,Naturaleza,2,FALSE)*VLOOKUP('Matriz Riesgo y Op'!D47,Probabilidad,2,FALSE)*VLOOKUP('Matriz Riesgo y Op'!G47,Impacto,2,FALSE),"")</f>
        <v>10</v>
      </c>
      <c r="J47" s="162" t="str">
        <f t="shared" ref="J47" si="7">IF(A47="Riesgo",IF(I47="","",IF(AND(I47&gt;0,I47&lt;200),"Trivial",IF(OR(I47=200,AND(I47&gt;200,I47&lt;400)),"Tolerable",IF(OR(I47=400,AND(I47&gt;400,I47&lt;600)),"Moderado",IF(OR(I47=600,AND(I47&gt;600,I47&lt;800)),"Importante",IF(OR(I47=800,I47&gt;800,I47&lt;1000,I47=1000),"Intolerable","")))))),IF(A47="Oportunidad",IF(I47="","",IF(AND(I47&gt;0,I47&lt;250),"Limitada",IF(OR(I47=250,AND(I47&gt;250,I47&lt;500)),"Media",IF(OR(I47=500,AND(I47&gt;500,I47&lt;750)),"Potencial",IF(OR(I47=750,AND(I47&gt;750,I47&lt;=1000)),"Sobresaliente",""))))),""))</f>
        <v>Limitada</v>
      </c>
      <c r="K47" s="147" t="str">
        <f>IFERROR(VLOOKUP(J47,'Parámetros de riesgo'!$B$27:$C$31,2,FALSE),IFERROR(VLOOKUP(J47,'Parámetros de riesgo'!$H$27:$I$30,2,FALSE),""))</f>
        <v>A CONSIDERAR</v>
      </c>
      <c r="L47" s="150" t="str">
        <f>IFERROR(VLOOKUP(K47,'Parámetros de riesgo'!$C$27:$D$31,2,FALSE),IFERROR(VLOOKUP(K47,'Parámetros de riesgo'!$I$27:$J$30,2,FALSE),""))</f>
        <v>Oportunidad que genera un beneficio mínimo en el proceso y/o Partes Interesadas de la cual se espera un resultado inmediato. Documentar las acciones de respuesta en la Evaluación de Efectividad de riesgos y oportunidades.</v>
      </c>
      <c r="M47" s="103" t="s">
        <v>231</v>
      </c>
      <c r="N47" s="95" t="s">
        <v>225</v>
      </c>
    </row>
    <row r="48" spans="1:14" ht="14.1" customHeight="1" x14ac:dyDescent="0.25">
      <c r="A48" s="139"/>
      <c r="B48" s="145"/>
      <c r="C48" s="139"/>
      <c r="D48" s="158"/>
      <c r="E48" s="195"/>
      <c r="F48" s="154"/>
      <c r="G48" s="156"/>
      <c r="H48" s="158"/>
      <c r="I48" s="161"/>
      <c r="J48" s="163"/>
      <c r="K48" s="148"/>
      <c r="L48" s="151"/>
      <c r="M48" s="95" t="s">
        <v>149</v>
      </c>
      <c r="N48" s="95" t="s">
        <v>149</v>
      </c>
    </row>
    <row r="49" spans="1:14" ht="14.1" customHeight="1" x14ac:dyDescent="0.25">
      <c r="A49" s="139"/>
      <c r="B49" s="145"/>
      <c r="C49" s="139"/>
      <c r="D49" s="158"/>
      <c r="E49" s="195"/>
      <c r="F49" s="154"/>
      <c r="G49" s="156"/>
      <c r="H49" s="158"/>
      <c r="I49" s="161"/>
      <c r="J49" s="163"/>
      <c r="K49" s="148"/>
      <c r="L49" s="151"/>
      <c r="M49" s="95"/>
      <c r="N49" s="97"/>
    </row>
    <row r="50" spans="1:14" ht="22.35" customHeight="1" x14ac:dyDescent="0.25">
      <c r="A50" s="139"/>
      <c r="B50" s="145"/>
      <c r="C50" s="139"/>
      <c r="D50" s="158"/>
      <c r="E50" s="195"/>
      <c r="F50" s="154"/>
      <c r="G50" s="156"/>
      <c r="H50" s="158"/>
      <c r="I50" s="161"/>
      <c r="J50" s="163"/>
      <c r="K50" s="148"/>
      <c r="L50" s="151"/>
      <c r="M50" s="95"/>
      <c r="N50" s="97"/>
    </row>
    <row r="51" spans="1:14" ht="15" customHeight="1" x14ac:dyDescent="0.25">
      <c r="A51" s="140"/>
      <c r="B51" s="146"/>
      <c r="C51" s="140"/>
      <c r="D51" s="159"/>
      <c r="E51" s="196"/>
      <c r="F51" s="154"/>
      <c r="G51" s="156"/>
      <c r="H51" s="159"/>
      <c r="I51" s="161"/>
      <c r="J51" s="164"/>
      <c r="K51" s="149"/>
      <c r="L51" s="152"/>
      <c r="M51" s="95"/>
      <c r="N51" s="98"/>
    </row>
    <row r="52" spans="1:14" ht="57" x14ac:dyDescent="0.25">
      <c r="A52" s="138" t="s">
        <v>127</v>
      </c>
      <c r="B52" s="141" t="s">
        <v>168</v>
      </c>
      <c r="C52" s="144" t="s">
        <v>164</v>
      </c>
      <c r="D52" s="157" t="s">
        <v>12</v>
      </c>
      <c r="E52" s="153" t="s">
        <v>185</v>
      </c>
      <c r="F52" s="153" t="s">
        <v>209</v>
      </c>
      <c r="G52" s="155" t="s">
        <v>4</v>
      </c>
      <c r="H52" s="157" t="s">
        <v>5</v>
      </c>
      <c r="I52" s="160">
        <f>IFERROR(VLOOKUP(H52,Naturaleza,2,FALSE)*VLOOKUP('Matriz Riesgo y Op'!D52,Probabilidad,2,FALSE)*VLOOKUP('Matriz Riesgo y Op'!G52,Impacto,2,FALSE),"")</f>
        <v>700</v>
      </c>
      <c r="J52" s="162" t="str">
        <f t="shared" ref="J52" si="8">IF(A52="Riesgo",IF(I52="","",IF(AND(I52&gt;0,I52&lt;200),"Trivial",IF(OR(I52=200,AND(I52&gt;200,I52&lt;400)),"Tolerable",IF(OR(I52=400,AND(I52&gt;400,I52&lt;600)),"Moderado",IF(OR(I52=600,AND(I52&gt;600,I52&lt;800)),"Importante",IF(OR(I52=800,I52&gt;800,I52&lt;1000,I52=1000),"Intolerable","")))))),IF(A52="Oportunidad",IF(I52="","",IF(AND(I52&gt;0,I52&lt;250),"Limitada",IF(OR(I52=250,AND(I52&gt;250,I52&lt;500)),"Media",IF(OR(I52=500,AND(I52&gt;500,I52&lt;750)),"Potencial",IF(OR(I52=750,AND(I52&gt;750,I52&lt;=1000)),"Sobresaliente",""))))),""))</f>
        <v>Potencial</v>
      </c>
      <c r="K52" s="147" t="str">
        <f>IFERROR(VLOOKUP(J52,'Parámetros de riesgo'!$B$27:$C$31,2,FALSE),IFERROR(VLOOKUP(J52,'Parámetros de riesgo'!$H$27:$I$30,2,FALSE),""))</f>
        <v>APROPIARSE</v>
      </c>
      <c r="L52" s="150" t="str">
        <f>IFERROR(VLOOKUP(K52,'Parámetros de riesgo'!$C$27:$D$31,2,FALSE),IFERROR(VLOOKUP(K52,'Parámetros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52" s="103" t="s">
        <v>232</v>
      </c>
      <c r="N52" s="95" t="s">
        <v>225</v>
      </c>
    </row>
    <row r="53" spans="1:14" ht="28.5" x14ac:dyDescent="0.25">
      <c r="A53" s="139"/>
      <c r="B53" s="142"/>
      <c r="C53" s="145"/>
      <c r="D53" s="158"/>
      <c r="E53" s="154"/>
      <c r="F53" s="154"/>
      <c r="G53" s="156"/>
      <c r="H53" s="158"/>
      <c r="I53" s="161"/>
      <c r="J53" s="163"/>
      <c r="K53" s="148"/>
      <c r="L53" s="151"/>
      <c r="M53" s="103" t="s">
        <v>233</v>
      </c>
      <c r="N53" s="95" t="s">
        <v>225</v>
      </c>
    </row>
    <row r="54" spans="1:14" ht="14.1" customHeight="1" x14ac:dyDescent="0.25">
      <c r="A54" s="139"/>
      <c r="B54" s="142"/>
      <c r="C54" s="145"/>
      <c r="D54" s="158"/>
      <c r="E54" s="154"/>
      <c r="F54" s="154"/>
      <c r="G54" s="156"/>
      <c r="H54" s="158"/>
      <c r="I54" s="161"/>
      <c r="J54" s="163"/>
      <c r="K54" s="148"/>
      <c r="L54" s="151"/>
      <c r="M54" s="95"/>
      <c r="N54" s="95"/>
    </row>
    <row r="55" spans="1:14" ht="14.1" customHeight="1" x14ac:dyDescent="0.25">
      <c r="A55" s="139"/>
      <c r="B55" s="142"/>
      <c r="C55" s="145"/>
      <c r="D55" s="158"/>
      <c r="E55" s="154"/>
      <c r="F55" s="154"/>
      <c r="G55" s="156"/>
      <c r="H55" s="158"/>
      <c r="I55" s="161"/>
      <c r="J55" s="163"/>
      <c r="K55" s="148"/>
      <c r="L55" s="151"/>
      <c r="M55" s="95"/>
      <c r="N55" s="74"/>
    </row>
    <row r="56" spans="1:14" ht="7.35" customHeight="1" x14ac:dyDescent="0.25">
      <c r="A56" s="140"/>
      <c r="B56" s="143"/>
      <c r="C56" s="146"/>
      <c r="D56" s="159"/>
      <c r="E56" s="154"/>
      <c r="F56" s="154"/>
      <c r="G56" s="156"/>
      <c r="H56" s="159"/>
      <c r="I56" s="161"/>
      <c r="J56" s="164"/>
      <c r="K56" s="149"/>
      <c r="L56" s="152"/>
      <c r="M56" s="95"/>
      <c r="N56" s="74"/>
    </row>
    <row r="57" spans="1:14" ht="28.5" x14ac:dyDescent="0.25">
      <c r="A57" s="138" t="s">
        <v>127</v>
      </c>
      <c r="B57" s="141" t="s">
        <v>143</v>
      </c>
      <c r="C57" s="144" t="s">
        <v>203</v>
      </c>
      <c r="D57" s="157" t="s">
        <v>16</v>
      </c>
      <c r="E57" s="165" t="s">
        <v>204</v>
      </c>
      <c r="F57" s="153" t="s">
        <v>211</v>
      </c>
      <c r="G57" s="155" t="s">
        <v>62</v>
      </c>
      <c r="H57" s="157" t="s">
        <v>5</v>
      </c>
      <c r="I57" s="160">
        <f>IFERROR(VLOOKUP(H57,Naturaleza,2,FALSE)*VLOOKUP('Matriz Riesgo y Op'!D57,Probabilidad,2,FALSE)*VLOOKUP('Matriz Riesgo y Op'!G57,Impacto,2,FALSE),"")</f>
        <v>100</v>
      </c>
      <c r="J57" s="162" t="str">
        <f t="shared" ref="J57" si="9">IF(A57="Riesgo",IF(I57="","",IF(AND(I57&gt;0,I57&lt;200),"Trivial",IF(OR(I57=200,AND(I57&gt;200,I57&lt;400)),"Tolerable",IF(OR(I57=400,AND(I57&gt;400,I57&lt;600)),"Moderado",IF(OR(I57=600,AND(I57&gt;600,I57&lt;800)),"Importante",IF(OR(I57=800,I57&gt;800,I57&lt;1000,I57=1000),"Intolerable","")))))),IF(A57="Oportunidad",IF(I57="","",IF(AND(I57&gt;0,I57&lt;250),"Limitada",IF(OR(I57=250,AND(I57&gt;250,I57&lt;500)),"Media",IF(OR(I57=500,AND(I57&gt;500,I57&lt;750)),"Potencial",IF(OR(I57=750,AND(I57&gt;750,I57&lt;=1000)),"Sobresaliente",""))))),""))</f>
        <v>Limitada</v>
      </c>
      <c r="K57" s="147" t="str">
        <f>IFERROR(VLOOKUP(J57,'Parámetros de riesgo'!$B$27:$C$31,2,FALSE),IFERROR(VLOOKUP(J57,'Parámetros de riesgo'!$H$27:$I$30,2,FALSE),""))</f>
        <v>A CONSIDERAR</v>
      </c>
      <c r="L57" s="150" t="str">
        <f>IFERROR(VLOOKUP(K57,'Parámetros de riesgo'!$C$27:$D$31,2,FALSE),IFERROR(VLOOKUP(K57,'Parámetros de riesgo'!$I$27:$J$30,2,FALSE),""))</f>
        <v>Oportunidad que genera un beneficio mínimo en el proceso y/o Partes Interesadas de la cual se espera un resultado inmediato. Documentar las acciones de respuesta en la Evaluación de Efectividad de riesgos y oportunidades.</v>
      </c>
      <c r="M57" s="103" t="s">
        <v>157</v>
      </c>
      <c r="N57" s="95" t="s">
        <v>225</v>
      </c>
    </row>
    <row r="58" spans="1:14" ht="14.1" customHeight="1" x14ac:dyDescent="0.25">
      <c r="A58" s="139"/>
      <c r="B58" s="142"/>
      <c r="C58" s="145"/>
      <c r="D58" s="158"/>
      <c r="E58" s="166"/>
      <c r="F58" s="154"/>
      <c r="G58" s="156"/>
      <c r="H58" s="158"/>
      <c r="I58" s="161"/>
      <c r="J58" s="163"/>
      <c r="K58" s="148"/>
      <c r="L58" s="151"/>
      <c r="M58" s="95"/>
      <c r="N58" s="95"/>
    </row>
    <row r="59" spans="1:14" ht="14.1" customHeight="1" x14ac:dyDescent="0.25">
      <c r="A59" s="139"/>
      <c r="B59" s="142"/>
      <c r="C59" s="145"/>
      <c r="D59" s="158"/>
      <c r="E59" s="166"/>
      <c r="F59" s="154"/>
      <c r="G59" s="156"/>
      <c r="H59" s="158"/>
      <c r="I59" s="161"/>
      <c r="J59" s="163"/>
      <c r="K59" s="148"/>
      <c r="L59" s="151"/>
      <c r="M59" s="95"/>
      <c r="N59" s="74"/>
    </row>
    <row r="60" spans="1:14" ht="14.1" customHeight="1" x14ac:dyDescent="0.25">
      <c r="A60" s="139"/>
      <c r="B60" s="142"/>
      <c r="C60" s="145"/>
      <c r="D60" s="158"/>
      <c r="E60" s="166"/>
      <c r="F60" s="154"/>
      <c r="G60" s="156"/>
      <c r="H60" s="158"/>
      <c r="I60" s="161"/>
      <c r="J60" s="163"/>
      <c r="K60" s="148"/>
      <c r="L60" s="151"/>
      <c r="M60" s="95"/>
      <c r="N60" s="74"/>
    </row>
    <row r="61" spans="1:14" ht="14.1" customHeight="1" x14ac:dyDescent="0.25">
      <c r="A61" s="140"/>
      <c r="B61" s="143"/>
      <c r="C61" s="146"/>
      <c r="D61" s="159"/>
      <c r="E61" s="167"/>
      <c r="F61" s="154"/>
      <c r="G61" s="156"/>
      <c r="H61" s="159"/>
      <c r="I61" s="161"/>
      <c r="J61" s="164"/>
      <c r="K61" s="149"/>
      <c r="L61" s="152"/>
      <c r="M61" s="95"/>
      <c r="N61" s="74"/>
    </row>
    <row r="62" spans="1:14" ht="42.75" x14ac:dyDescent="0.25">
      <c r="A62" s="138" t="s">
        <v>127</v>
      </c>
      <c r="B62" s="144" t="s">
        <v>198</v>
      </c>
      <c r="C62" s="144" t="s">
        <v>205</v>
      </c>
      <c r="D62" s="157" t="s">
        <v>15</v>
      </c>
      <c r="E62" s="153" t="s">
        <v>184</v>
      </c>
      <c r="F62" s="153" t="s">
        <v>212</v>
      </c>
      <c r="G62" s="155" t="s">
        <v>13</v>
      </c>
      <c r="H62" s="157" t="s">
        <v>5</v>
      </c>
      <c r="I62" s="160">
        <f>IFERROR(VLOOKUP(H62,Naturaleza,2,FALSE)*VLOOKUP('Matriz Riesgo y Op'!D62,Probabilidad,2,FALSE)*VLOOKUP('Matriz Riesgo y Op'!G62,Impacto,2,FALSE),"")</f>
        <v>70</v>
      </c>
      <c r="J62" s="162" t="str">
        <f t="shared" ref="J62" si="10">IF(A62="Riesgo",IF(I62="","",IF(AND(I62&gt;0,I62&lt;200),"Trivial",IF(OR(I62=200,AND(I62&gt;200,I62&lt;400)),"Tolerable",IF(OR(I62=400,AND(I62&gt;400,I62&lt;600)),"Moderado",IF(OR(I62=600,AND(I62&gt;600,I62&lt;800)),"Importante",IF(OR(I62=800,I62&gt;800,I62&lt;1000,I62=1000),"Intolerable","")))))),IF(A62="Oportunidad",IF(I62="","",IF(AND(I62&gt;0,I62&lt;250),"Limitada",IF(OR(I62=250,AND(I62&gt;250,I62&lt;500)),"Media",IF(OR(I62=500,AND(I62&gt;500,I62&lt;750)),"Potencial",IF(OR(I62=750,AND(I62&gt;750,I62&lt;=1000)),"Sobresaliente",""))))),""))</f>
        <v>Limitada</v>
      </c>
      <c r="K62" s="147" t="str">
        <f>IFERROR(VLOOKUP(J62,'Parámetros de riesgo'!$B$27:$C$31,2,FALSE),IFERROR(VLOOKUP(J62,'Parámetros de riesgo'!$H$27:$I$30,2,FALSE),""))</f>
        <v>A CONSIDERAR</v>
      </c>
      <c r="L62" s="150" t="str">
        <f>IFERROR(VLOOKUP(K62,'Parámetros de riesgo'!$C$27:$D$31,2,FALSE),IFERROR(VLOOKUP(K62,'Parámetros de riesgo'!$I$27:$J$30,2,FALSE),""))</f>
        <v>Oportunidad que genera un beneficio mínimo en el proceso y/o Partes Interesadas de la cual se espera un resultado inmediato. Documentar las acciones de respuesta en la Evaluación de Efectividad de riesgos y oportunidades.</v>
      </c>
      <c r="M62" s="103" t="s">
        <v>158</v>
      </c>
      <c r="N62" s="95" t="s">
        <v>230</v>
      </c>
    </row>
    <row r="63" spans="1:14" x14ac:dyDescent="0.25">
      <c r="A63" s="139"/>
      <c r="B63" s="145"/>
      <c r="C63" s="145"/>
      <c r="D63" s="158"/>
      <c r="E63" s="154"/>
      <c r="F63" s="154"/>
      <c r="G63" s="156"/>
      <c r="H63" s="158"/>
      <c r="I63" s="161"/>
      <c r="J63" s="163"/>
      <c r="K63" s="148"/>
      <c r="L63" s="151"/>
      <c r="M63" s="95"/>
      <c r="N63" s="74"/>
    </row>
    <row r="64" spans="1:14" x14ac:dyDescent="0.25">
      <c r="A64" s="139"/>
      <c r="B64" s="145"/>
      <c r="C64" s="145"/>
      <c r="D64" s="158"/>
      <c r="E64" s="154"/>
      <c r="F64" s="154"/>
      <c r="G64" s="156"/>
      <c r="H64" s="158"/>
      <c r="I64" s="161"/>
      <c r="J64" s="163"/>
      <c r="K64" s="148"/>
      <c r="L64" s="151"/>
      <c r="M64" s="95"/>
      <c r="N64" s="74"/>
    </row>
    <row r="65" spans="1:14" x14ac:dyDescent="0.25">
      <c r="A65" s="139"/>
      <c r="B65" s="145"/>
      <c r="C65" s="145"/>
      <c r="D65" s="158"/>
      <c r="E65" s="154"/>
      <c r="F65" s="154"/>
      <c r="G65" s="156"/>
      <c r="H65" s="158"/>
      <c r="I65" s="161"/>
      <c r="J65" s="163"/>
      <c r="K65" s="148"/>
      <c r="L65" s="151"/>
      <c r="M65" s="95"/>
      <c r="N65" s="74"/>
    </row>
    <row r="66" spans="1:14" x14ac:dyDescent="0.25">
      <c r="A66" s="140"/>
      <c r="B66" s="146"/>
      <c r="C66" s="146"/>
      <c r="D66" s="159"/>
      <c r="E66" s="154"/>
      <c r="F66" s="154"/>
      <c r="G66" s="156"/>
      <c r="H66" s="159"/>
      <c r="I66" s="161"/>
      <c r="J66" s="164"/>
      <c r="K66" s="149"/>
      <c r="L66" s="152"/>
      <c r="M66" s="95"/>
      <c r="N66" s="74"/>
    </row>
    <row r="67" spans="1:14" ht="42.75" x14ac:dyDescent="0.25">
      <c r="A67" s="138" t="s">
        <v>127</v>
      </c>
      <c r="B67" s="144" t="s">
        <v>144</v>
      </c>
      <c r="C67" s="144" t="s">
        <v>206</v>
      </c>
      <c r="D67" s="157" t="s">
        <v>15</v>
      </c>
      <c r="E67" s="153" t="s">
        <v>183</v>
      </c>
      <c r="F67" s="153" t="s">
        <v>215</v>
      </c>
      <c r="G67" s="155" t="s">
        <v>62</v>
      </c>
      <c r="H67" s="157" t="s">
        <v>5</v>
      </c>
      <c r="I67" s="160">
        <f>IFERROR(VLOOKUP(H67,Naturaleza,2,FALSE)*VLOOKUP('Matriz Riesgo y Op'!D67,Probabilidad,2,FALSE)*VLOOKUP('Matriz Riesgo y Op'!G67,Impacto,2,FALSE),"")</f>
        <v>700</v>
      </c>
      <c r="J67" s="162" t="str">
        <f t="shared" ref="J67" si="11">IF(A67="Riesgo",IF(I67="","",IF(AND(I67&gt;0,I67&lt;200),"Trivial",IF(OR(I67=200,AND(I67&gt;200,I67&lt;400)),"Tolerable",IF(OR(I67=400,AND(I67&gt;400,I67&lt;600)),"Moderado",IF(OR(I67=600,AND(I67&gt;600,I67&lt;800)),"Importante",IF(OR(I67=800,I67&gt;800,I67&lt;1000,I67=1000),"Intolerable","")))))),IF(A67="Oportunidad",IF(I67="","",IF(AND(I67&gt;0,I67&lt;250),"Limitada",IF(OR(I67=250,AND(I67&gt;250,I67&lt;500)),"Media",IF(OR(I67=500,AND(I67&gt;500,I67&lt;750)),"Potencial",IF(OR(I67=750,AND(I67&gt;750,I67&lt;=1000)),"Sobresaliente",""))))),""))</f>
        <v>Potencial</v>
      </c>
      <c r="K67" s="147" t="str">
        <f>IFERROR(VLOOKUP(J67,'Parámetros de riesgo'!$B$27:$C$31,2,FALSE),IFERROR(VLOOKUP(J67,'Parámetros de riesgo'!$H$27:$I$30,2,FALSE),""))</f>
        <v>APROPIARSE</v>
      </c>
      <c r="L67" s="150" t="str">
        <f>IFERROR(VLOOKUP(K67,'Parámetros de riesgo'!$C$27:$D$31,2,FALSE),IFERROR(VLOOKUP(K67,'Parámetros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67" s="103" t="s">
        <v>234</v>
      </c>
      <c r="N67" s="95" t="s">
        <v>225</v>
      </c>
    </row>
    <row r="68" spans="1:14" x14ac:dyDescent="0.25">
      <c r="A68" s="139"/>
      <c r="B68" s="145"/>
      <c r="C68" s="145"/>
      <c r="D68" s="158"/>
      <c r="E68" s="154"/>
      <c r="F68" s="154"/>
      <c r="G68" s="156"/>
      <c r="H68" s="158"/>
      <c r="I68" s="161"/>
      <c r="J68" s="163"/>
      <c r="K68" s="148"/>
      <c r="L68" s="151"/>
      <c r="M68" s="95"/>
      <c r="N68" s="74"/>
    </row>
    <row r="69" spans="1:14" x14ac:dyDescent="0.25">
      <c r="A69" s="139"/>
      <c r="B69" s="145"/>
      <c r="C69" s="145"/>
      <c r="D69" s="158"/>
      <c r="E69" s="154"/>
      <c r="F69" s="154"/>
      <c r="G69" s="156"/>
      <c r="H69" s="158"/>
      <c r="I69" s="161"/>
      <c r="J69" s="163"/>
      <c r="K69" s="148"/>
      <c r="L69" s="151"/>
      <c r="M69" s="95"/>
      <c r="N69" s="74"/>
    </row>
    <row r="70" spans="1:14" x14ac:dyDescent="0.25">
      <c r="A70" s="139"/>
      <c r="B70" s="145"/>
      <c r="C70" s="145"/>
      <c r="D70" s="158"/>
      <c r="E70" s="154"/>
      <c r="F70" s="154"/>
      <c r="G70" s="156"/>
      <c r="H70" s="158"/>
      <c r="I70" s="161"/>
      <c r="J70" s="163"/>
      <c r="K70" s="148"/>
      <c r="L70" s="151"/>
      <c r="M70" s="95"/>
      <c r="N70" s="74"/>
    </row>
    <row r="71" spans="1:14" ht="42" customHeight="1" x14ac:dyDescent="0.25">
      <c r="A71" s="140"/>
      <c r="B71" s="146"/>
      <c r="C71" s="146"/>
      <c r="D71" s="159"/>
      <c r="E71" s="154"/>
      <c r="F71" s="154"/>
      <c r="G71" s="156"/>
      <c r="H71" s="159"/>
      <c r="I71" s="161"/>
      <c r="J71" s="164"/>
      <c r="K71" s="149"/>
      <c r="L71" s="152"/>
      <c r="M71" s="95"/>
      <c r="N71" s="74"/>
    </row>
    <row r="72" spans="1:14" ht="28.5" x14ac:dyDescent="0.25">
      <c r="A72" s="138" t="s">
        <v>127</v>
      </c>
      <c r="B72" s="144" t="s">
        <v>145</v>
      </c>
      <c r="C72" s="144" t="s">
        <v>156</v>
      </c>
      <c r="D72" s="157" t="s">
        <v>15</v>
      </c>
      <c r="E72" s="165" t="s">
        <v>207</v>
      </c>
      <c r="F72" s="165" t="s">
        <v>213</v>
      </c>
      <c r="G72" s="155" t="s">
        <v>4</v>
      </c>
      <c r="H72" s="157" t="s">
        <v>5</v>
      </c>
      <c r="I72" s="160">
        <f>IFERROR(VLOOKUP(H72,Naturaleza,2,FALSE)*VLOOKUP('Matriz Riesgo y Op'!D72,Probabilidad,2,FALSE)*VLOOKUP('Matriz Riesgo y Op'!G72,Impacto,2,FALSE),"")</f>
        <v>490</v>
      </c>
      <c r="J72" s="162" t="str">
        <f t="shared" ref="J72" si="12">IF(A72="Riesgo",IF(I72="","",IF(AND(I72&gt;0,I72&lt;200),"Trivial",IF(OR(I72=200,AND(I72&gt;200,I72&lt;400)),"Tolerable",IF(OR(I72=400,AND(I72&gt;400,I72&lt;600)),"Moderado",IF(OR(I72=600,AND(I72&gt;600,I72&lt;800)),"Importante",IF(OR(I72=800,I72&gt;800,I72&lt;1000,I72=1000),"Intolerable","")))))),IF(A72="Oportunidad",IF(I72="","",IF(AND(I72&gt;0,I72&lt;250),"Limitada",IF(OR(I72=250,AND(I72&gt;250,I72&lt;500)),"Media",IF(OR(I72=500,AND(I72&gt;500,I72&lt;750)),"Potencial",IF(OR(I72=750,AND(I72&gt;750,I72&lt;=1000)),"Sobresaliente",""))))),""))</f>
        <v>Media</v>
      </c>
      <c r="K72" s="147" t="str">
        <f>IFERROR(VLOOKUP(J72,'Parámetros de riesgo'!$B$27:$C$31,2,FALSE),IFERROR(VLOOKUP(J72,'Parámetros de riesgo'!$H$27:$I$30,2,FALSE),""))</f>
        <v>ABORDAR</v>
      </c>
      <c r="L72" s="150" t="str">
        <f>IFERROR(VLOOKUP(K72,'Parámetros de riesgo'!$C$27:$D$31,2,FALSE),IFERROR(VLOOKUP(K72,'Parámetros de riesgo'!$I$27:$J$30,2,FALSE),""))</f>
        <v>Oportunidad con buena posibilidad de abordarse siempre y cuando se profundice en los beneficios esperados en el proceso de una o varias áreas  y/o Partes Interesadas de la cual se espera un resultado a corto plazo. Documentar las acciones de respuesta en la Evaluación de Efectividad de riesgos y oportunidades.</v>
      </c>
      <c r="M72" s="103" t="s">
        <v>159</v>
      </c>
      <c r="N72" s="95" t="s">
        <v>225</v>
      </c>
    </row>
    <row r="73" spans="1:14" x14ac:dyDescent="0.25">
      <c r="A73" s="139"/>
      <c r="B73" s="145"/>
      <c r="C73" s="145"/>
      <c r="D73" s="158"/>
      <c r="E73" s="166"/>
      <c r="F73" s="166"/>
      <c r="G73" s="156"/>
      <c r="H73" s="158"/>
      <c r="I73" s="161"/>
      <c r="J73" s="163"/>
      <c r="K73" s="148"/>
      <c r="L73" s="151"/>
      <c r="M73" s="95"/>
      <c r="N73" s="74"/>
    </row>
    <row r="74" spans="1:14" x14ac:dyDescent="0.25">
      <c r="A74" s="139"/>
      <c r="B74" s="145"/>
      <c r="C74" s="145"/>
      <c r="D74" s="158"/>
      <c r="E74" s="166"/>
      <c r="F74" s="166"/>
      <c r="G74" s="156"/>
      <c r="H74" s="158"/>
      <c r="I74" s="161"/>
      <c r="J74" s="163"/>
      <c r="K74" s="148"/>
      <c r="L74" s="151"/>
      <c r="M74" s="95"/>
      <c r="N74" s="74"/>
    </row>
    <row r="75" spans="1:14" x14ac:dyDescent="0.25">
      <c r="A75" s="139"/>
      <c r="B75" s="145"/>
      <c r="C75" s="145"/>
      <c r="D75" s="158"/>
      <c r="E75" s="166"/>
      <c r="F75" s="166"/>
      <c r="G75" s="156"/>
      <c r="H75" s="158"/>
      <c r="I75" s="161"/>
      <c r="J75" s="163"/>
      <c r="K75" s="148"/>
      <c r="L75" s="151"/>
      <c r="M75" s="95"/>
      <c r="N75" s="74"/>
    </row>
    <row r="76" spans="1:14" x14ac:dyDescent="0.25">
      <c r="A76" s="140"/>
      <c r="B76" s="146"/>
      <c r="C76" s="146"/>
      <c r="D76" s="159"/>
      <c r="E76" s="167"/>
      <c r="F76" s="167"/>
      <c r="G76" s="156"/>
      <c r="H76" s="159"/>
      <c r="I76" s="161"/>
      <c r="J76" s="164"/>
      <c r="K76" s="149"/>
      <c r="L76" s="152"/>
      <c r="M76" s="95"/>
      <c r="N76" s="74"/>
    </row>
    <row r="77" spans="1:14" ht="13.7" customHeight="1" x14ac:dyDescent="0.25">
      <c r="A77" s="138" t="s">
        <v>127</v>
      </c>
      <c r="B77" s="144" t="s">
        <v>179</v>
      </c>
      <c r="C77" s="144" t="s">
        <v>208</v>
      </c>
      <c r="D77" s="157" t="s">
        <v>15</v>
      </c>
      <c r="E77" s="201" t="s">
        <v>182</v>
      </c>
      <c r="F77" s="153" t="s">
        <v>214</v>
      </c>
      <c r="G77" s="155" t="s">
        <v>62</v>
      </c>
      <c r="H77" s="157" t="s">
        <v>5</v>
      </c>
      <c r="I77" s="160">
        <f>IFERROR(VLOOKUP(H77,Naturaleza,2,FALSE)*VLOOKUP('Matriz Riesgo y Op'!D77,Probabilidad,2,FALSE)*VLOOKUP('Matriz Riesgo y Op'!G77,Impacto,2,FALSE),"")</f>
        <v>700</v>
      </c>
      <c r="J77" s="162" t="str">
        <f t="shared" ref="J77" si="13">IF(A77="Riesgo",IF(I77="","",IF(AND(I77&gt;0,I77&lt;200),"Trivial",IF(OR(I77=200,AND(I77&gt;200,I77&lt;400)),"Tolerable",IF(OR(I77=400,AND(I77&gt;400,I77&lt;600)),"Moderado",IF(OR(I77=600,AND(I77&gt;600,I77&lt;800)),"Importante",IF(OR(I77=800,I77&gt;800,I77&lt;1000,I77=1000),"Intolerable","")))))),IF(A77="Oportunidad",IF(I77="","",IF(AND(I77&gt;0,I77&lt;250),"Limitada",IF(OR(I77=250,AND(I77&gt;250,I77&lt;500)),"Media",IF(OR(I77=500,AND(I77&gt;500,I77&lt;750)),"Potencial",IF(OR(I77=750,AND(I77&gt;750,I77&lt;=1000)),"Sobresaliente",""))))),""))</f>
        <v>Potencial</v>
      </c>
      <c r="K77" s="147" t="str">
        <f>IFERROR(VLOOKUP(J77,'Parámetros de riesgo'!$B$27:$C$31,2,FALSE),IFERROR(VLOOKUP(J77,'Parámetros de riesgo'!$H$27:$I$30,2,FALSE),""))</f>
        <v>APROPIARSE</v>
      </c>
      <c r="L77" s="150" t="str">
        <f>IFERROR(VLOOKUP(K77,'Parámetros de riesgo'!$C$27:$D$31,2,FALSE),IFERROR(VLOOKUP(K77,'Parámetros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77" s="103" t="s">
        <v>235</v>
      </c>
      <c r="N77" s="95" t="s">
        <v>153</v>
      </c>
    </row>
    <row r="78" spans="1:14" x14ac:dyDescent="0.25">
      <c r="A78" s="139"/>
      <c r="B78" s="145"/>
      <c r="C78" s="145"/>
      <c r="D78" s="158"/>
      <c r="E78" s="169"/>
      <c r="F78" s="154"/>
      <c r="G78" s="156"/>
      <c r="H78" s="158"/>
      <c r="I78" s="161"/>
      <c r="J78" s="163"/>
      <c r="K78" s="148"/>
      <c r="L78" s="151"/>
      <c r="M78" s="95"/>
      <c r="N78" s="74"/>
    </row>
    <row r="79" spans="1:14" x14ac:dyDescent="0.25">
      <c r="A79" s="139"/>
      <c r="B79" s="145"/>
      <c r="C79" s="145"/>
      <c r="D79" s="158"/>
      <c r="E79" s="169"/>
      <c r="F79" s="154"/>
      <c r="G79" s="156"/>
      <c r="H79" s="158"/>
      <c r="I79" s="161"/>
      <c r="J79" s="163"/>
      <c r="K79" s="148"/>
      <c r="L79" s="151"/>
      <c r="M79" s="95"/>
      <c r="N79" s="74"/>
    </row>
    <row r="80" spans="1:14" x14ac:dyDescent="0.25">
      <c r="A80" s="139"/>
      <c r="B80" s="145"/>
      <c r="C80" s="145"/>
      <c r="D80" s="158"/>
      <c r="E80" s="169"/>
      <c r="F80" s="154"/>
      <c r="G80" s="156"/>
      <c r="H80" s="158"/>
      <c r="I80" s="161"/>
      <c r="J80" s="163"/>
      <c r="K80" s="148"/>
      <c r="L80" s="151"/>
      <c r="M80" s="95"/>
      <c r="N80" s="74"/>
    </row>
    <row r="81" spans="1:14" x14ac:dyDescent="0.25">
      <c r="A81" s="140"/>
      <c r="B81" s="146"/>
      <c r="C81" s="146"/>
      <c r="D81" s="159"/>
      <c r="E81" s="170"/>
      <c r="F81" s="154"/>
      <c r="G81" s="156"/>
      <c r="H81" s="159"/>
      <c r="I81" s="161"/>
      <c r="J81" s="164"/>
      <c r="K81" s="149"/>
      <c r="L81" s="152"/>
      <c r="M81" s="95"/>
      <c r="N81" s="74"/>
    </row>
  </sheetData>
  <protectedRanges>
    <protectedRange sqref="L52:L53 L57:L58 L47:L48 L62:L63 L67:L68 L72:L73 L77:L78" name="Rango2"/>
    <protectedRange sqref="G52:G53 G57:G58 G47:G48 G62:G63 G67:G68 G72:G73 G77:G78" name="Rango1_1_2"/>
    <protectedRange sqref="A8:A9 A13:A14 A18:A19 A23:A24 A28:A29 A38:A39 A33:A34" name="Rango1_1_3"/>
    <protectedRange sqref="B67:B68 B33:B34 B38:B39 B8:B9 B13:B14 B18:B19 B23:B24 B28:B29 B72:B73 B77:B78 B47:B48 B52:B53 B57:B58 B62:B63" name="Rango1_1_1_1"/>
    <protectedRange sqref="A47:A48 C52:F53 C62:F63 A52:A53 A57:A58 A62:A63 A67:A68 C72:F73 A72:A73 A77:A78 C47:F48 C67:F68 C77:F78 C57:F58" name="Rango1_1_7"/>
    <protectedRange sqref="H47:H48 H52:H53 H57:H58 H62:H63 H67:H68 H72:H73 H77:H78" name="Rango1_1_8"/>
    <protectedRange sqref="C33:F34 D8:F9 D13:F14 C18:F19 D28:F29 D23:E24 D38:F39" name="Rango1_1_3_1"/>
    <protectedRange sqref="C8:C9 C13:C14 C23:C24 C28:C29 F23:F24 C38:C39" name="Rango1_1_1_1_1"/>
    <protectedRange sqref="L28:L29 L8:L9 L33:L34 L38:L39 L23:L24 L13:L14 L18:L19" name="Rango2_1"/>
    <protectedRange sqref="G8:G9 G13:G14 G18:G19 G23:G24 G33:G34 G38:G39" name="Rango1_1_4"/>
    <protectedRange sqref="G28:G29" name="Rango1_1_1_3"/>
    <protectedRange sqref="H38:H39 H8:H9 H13:H14 H18:H19 H28:H29 H23:H24 H33:H34" name="Rango1_1_6_1"/>
  </protectedRanges>
  <dataConsolidate/>
  <mergeCells count="180">
    <mergeCell ref="I72:I76"/>
    <mergeCell ref="J72:J76"/>
    <mergeCell ref="K72:K76"/>
    <mergeCell ref="L72:L76"/>
    <mergeCell ref="I77:I81"/>
    <mergeCell ref="J77:J81"/>
    <mergeCell ref="K77:K81"/>
    <mergeCell ref="L77:L81"/>
    <mergeCell ref="I62:I66"/>
    <mergeCell ref="J62:J66"/>
    <mergeCell ref="K62:K66"/>
    <mergeCell ref="L62:L66"/>
    <mergeCell ref="I67:I71"/>
    <mergeCell ref="J67:J71"/>
    <mergeCell ref="K67:K71"/>
    <mergeCell ref="L67:L71"/>
    <mergeCell ref="H62:H66"/>
    <mergeCell ref="H67:H71"/>
    <mergeCell ref="H72:H76"/>
    <mergeCell ref="H77:H81"/>
    <mergeCell ref="G62:G66"/>
    <mergeCell ref="G67:G71"/>
    <mergeCell ref="G72:G76"/>
    <mergeCell ref="G77:G81"/>
    <mergeCell ref="F62:F66"/>
    <mergeCell ref="F72:F76"/>
    <mergeCell ref="A77:A81"/>
    <mergeCell ref="B77:B81"/>
    <mergeCell ref="C77:C81"/>
    <mergeCell ref="D77:D81"/>
    <mergeCell ref="E77:E81"/>
    <mergeCell ref="F77:F81"/>
    <mergeCell ref="A72:A76"/>
    <mergeCell ref="B72:B76"/>
    <mergeCell ref="C72:C76"/>
    <mergeCell ref="D72:D76"/>
    <mergeCell ref="E72:E76"/>
    <mergeCell ref="A67:A71"/>
    <mergeCell ref="B67:B71"/>
    <mergeCell ref="C67:C71"/>
    <mergeCell ref="D67:D71"/>
    <mergeCell ref="E67:E71"/>
    <mergeCell ref="F67:F71"/>
    <mergeCell ref="A62:A66"/>
    <mergeCell ref="B62:B66"/>
    <mergeCell ref="C62:C66"/>
    <mergeCell ref="D62:D66"/>
    <mergeCell ref="E62:E66"/>
    <mergeCell ref="I13:I17"/>
    <mergeCell ref="I18:I22"/>
    <mergeCell ref="I23:I27"/>
    <mergeCell ref="I33:I37"/>
    <mergeCell ref="J33:J37"/>
    <mergeCell ref="K33:K37"/>
    <mergeCell ref="L33:L37"/>
    <mergeCell ref="I38:I42"/>
    <mergeCell ref="J38:J42"/>
    <mergeCell ref="K38:K42"/>
    <mergeCell ref="L38:L42"/>
    <mergeCell ref="J13:J17"/>
    <mergeCell ref="K13:K17"/>
    <mergeCell ref="L13:L17"/>
    <mergeCell ref="J18:J22"/>
    <mergeCell ref="K18:K22"/>
    <mergeCell ref="L18:L22"/>
    <mergeCell ref="J23:J27"/>
    <mergeCell ref="K23:K27"/>
    <mergeCell ref="L23:L27"/>
    <mergeCell ref="H13:H17"/>
    <mergeCell ref="H18:H22"/>
    <mergeCell ref="H23:H27"/>
    <mergeCell ref="H33:H37"/>
    <mergeCell ref="H38:H42"/>
    <mergeCell ref="G13:G17"/>
    <mergeCell ref="G18:G22"/>
    <mergeCell ref="G23:G27"/>
    <mergeCell ref="G33:G37"/>
    <mergeCell ref="G38:G42"/>
    <mergeCell ref="C38:C42"/>
    <mergeCell ref="D38:D42"/>
    <mergeCell ref="E38:E42"/>
    <mergeCell ref="F23:F27"/>
    <mergeCell ref="A33:A37"/>
    <mergeCell ref="B33:B37"/>
    <mergeCell ref="C33:C37"/>
    <mergeCell ref="D33:D37"/>
    <mergeCell ref="E33:E37"/>
    <mergeCell ref="F33:F37"/>
    <mergeCell ref="A23:A27"/>
    <mergeCell ref="B23:B27"/>
    <mergeCell ref="C23:C27"/>
    <mergeCell ref="D23:D27"/>
    <mergeCell ref="E23:E27"/>
    <mergeCell ref="A28:A32"/>
    <mergeCell ref="B28:B32"/>
    <mergeCell ref="C28:C32"/>
    <mergeCell ref="D28:D32"/>
    <mergeCell ref="E28:E32"/>
    <mergeCell ref="F13:F17"/>
    <mergeCell ref="A18:A22"/>
    <mergeCell ref="B18:B22"/>
    <mergeCell ref="C18:C22"/>
    <mergeCell ref="D18:D22"/>
    <mergeCell ref="E18:E22"/>
    <mergeCell ref="F18:F22"/>
    <mergeCell ref="A13:A17"/>
    <mergeCell ref="B13:B17"/>
    <mergeCell ref="C13:C17"/>
    <mergeCell ref="D13:D17"/>
    <mergeCell ref="E13:E17"/>
    <mergeCell ref="F47:F51"/>
    <mergeCell ref="J28:J32"/>
    <mergeCell ref="K28:K32"/>
    <mergeCell ref="L28:L32"/>
    <mergeCell ref="F28:F32"/>
    <mergeCell ref="F38:F42"/>
    <mergeCell ref="G28:G32"/>
    <mergeCell ref="H28:H32"/>
    <mergeCell ref="I28:I32"/>
    <mergeCell ref="A44:N44"/>
    <mergeCell ref="A47:A51"/>
    <mergeCell ref="B47:B51"/>
    <mergeCell ref="C47:C51"/>
    <mergeCell ref="D47:D51"/>
    <mergeCell ref="I45:K45"/>
    <mergeCell ref="L45:N45"/>
    <mergeCell ref="A45:H45"/>
    <mergeCell ref="G47:G51"/>
    <mergeCell ref="H47:H51"/>
    <mergeCell ref="I47:I51"/>
    <mergeCell ref="J47:J51"/>
    <mergeCell ref="K47:K51"/>
    <mergeCell ref="A38:A42"/>
    <mergeCell ref="B38:B42"/>
    <mergeCell ref="F8:F12"/>
    <mergeCell ref="G8:G12"/>
    <mergeCell ref="H8:H12"/>
    <mergeCell ref="I8:I12"/>
    <mergeCell ref="J8:J12"/>
    <mergeCell ref="L52:L56"/>
    <mergeCell ref="A2:A3"/>
    <mergeCell ref="B2:C3"/>
    <mergeCell ref="I6:K6"/>
    <mergeCell ref="A6:H6"/>
    <mergeCell ref="D2:K2"/>
    <mergeCell ref="D3:K3"/>
    <mergeCell ref="A5:N5"/>
    <mergeCell ref="A8:A12"/>
    <mergeCell ref="B8:B12"/>
    <mergeCell ref="C8:C12"/>
    <mergeCell ref="D8:D12"/>
    <mergeCell ref="E8:E12"/>
    <mergeCell ref="K8:K12"/>
    <mergeCell ref="L8:L12"/>
    <mergeCell ref="L6:N6"/>
    <mergeCell ref="I52:I56"/>
    <mergeCell ref="L47:L51"/>
    <mergeCell ref="E47:E51"/>
    <mergeCell ref="A57:A61"/>
    <mergeCell ref="B57:B61"/>
    <mergeCell ref="C57:C61"/>
    <mergeCell ref="A52:A56"/>
    <mergeCell ref="B52:B56"/>
    <mergeCell ref="C52:C56"/>
    <mergeCell ref="K57:K61"/>
    <mergeCell ref="L57:L61"/>
    <mergeCell ref="F57:F61"/>
    <mergeCell ref="G57:G61"/>
    <mergeCell ref="H57:H61"/>
    <mergeCell ref="I57:I61"/>
    <mergeCell ref="J57:J61"/>
    <mergeCell ref="D57:D61"/>
    <mergeCell ref="E57:E61"/>
    <mergeCell ref="J52:J56"/>
    <mergeCell ref="K52:K56"/>
    <mergeCell ref="D52:D56"/>
    <mergeCell ref="E52:E56"/>
    <mergeCell ref="F52:F56"/>
    <mergeCell ref="G52:G56"/>
    <mergeCell ref="H52:H56"/>
  </mergeCells>
  <conditionalFormatting sqref="J7 J82:J1048576 L7:N7">
    <cfRule type="cellIs" dxfId="81" priority="415" operator="equal">
      <formula>"Intolerable"</formula>
    </cfRule>
    <cfRule type="cellIs" dxfId="80" priority="416" operator="equal">
      <formula>"Importante"</formula>
    </cfRule>
    <cfRule type="cellIs" dxfId="79" priority="417" operator="equal">
      <formula>"Moderado"</formula>
    </cfRule>
    <cfRule type="cellIs" dxfId="78" priority="418" operator="equal">
      <formula>"Tolerable"</formula>
    </cfRule>
  </conditionalFormatting>
  <conditionalFormatting sqref="K7">
    <cfRule type="cellIs" dxfId="77" priority="411" operator="equal">
      <formula>"Intolerable"</formula>
    </cfRule>
    <cfRule type="cellIs" dxfId="76" priority="412" operator="equal">
      <formula>"Importante"</formula>
    </cfRule>
    <cfRule type="cellIs" dxfId="75" priority="413" operator="equal">
      <formula>"Moderado"</formula>
    </cfRule>
    <cfRule type="cellIs" dxfId="74" priority="414" operator="equal">
      <formula>"Tolerable"</formula>
    </cfRule>
  </conditionalFormatting>
  <conditionalFormatting sqref="L46:N46">
    <cfRule type="cellIs" dxfId="73" priority="324" operator="equal">
      <formula>"Intolerable"</formula>
    </cfRule>
    <cfRule type="cellIs" dxfId="72" priority="325" operator="equal">
      <formula>"Importante"</formula>
    </cfRule>
    <cfRule type="cellIs" dxfId="71" priority="326" operator="equal">
      <formula>"Moderado"</formula>
    </cfRule>
    <cfRule type="cellIs" dxfId="70" priority="327" operator="equal">
      <formula>"Tolerable"</formula>
    </cfRule>
  </conditionalFormatting>
  <conditionalFormatting sqref="K46">
    <cfRule type="cellIs" dxfId="69" priority="320" operator="equal">
      <formula>"Intolerable"</formula>
    </cfRule>
    <cfRule type="cellIs" dxfId="68" priority="321" operator="equal">
      <formula>"Importante"</formula>
    </cfRule>
    <cfRule type="cellIs" dxfId="67" priority="322" operator="equal">
      <formula>"Moderado"</formula>
    </cfRule>
    <cfRule type="cellIs" dxfId="66" priority="323" operator="equal">
      <formula>"Tolerable"</formula>
    </cfRule>
  </conditionalFormatting>
  <conditionalFormatting sqref="F46 I46:J46">
    <cfRule type="cellIs" dxfId="65" priority="290" operator="equal">
      <formula>"Intolerable"</formula>
    </cfRule>
    <cfRule type="cellIs" dxfId="64" priority="291" operator="equal">
      <formula>"Importante"</formula>
    </cfRule>
    <cfRule type="cellIs" dxfId="63" priority="292" operator="equal">
      <formula>"Moderado"</formula>
    </cfRule>
    <cfRule type="cellIs" dxfId="62" priority="293" operator="equal">
      <formula>"Tolerable"</formula>
    </cfRule>
  </conditionalFormatting>
  <conditionalFormatting sqref="G46">
    <cfRule type="cellIs" dxfId="61" priority="286" operator="equal">
      <formula>"Intolerable"</formula>
    </cfRule>
    <cfRule type="cellIs" dxfId="60" priority="287" operator="equal">
      <formula>"Importante"</formula>
    </cfRule>
    <cfRule type="cellIs" dxfId="59" priority="288" operator="equal">
      <formula>"Moderado"</formula>
    </cfRule>
    <cfRule type="cellIs" dxfId="58" priority="289" operator="equal">
      <formula>"Tolerable"</formula>
    </cfRule>
  </conditionalFormatting>
  <conditionalFormatting sqref="I47 I52 I57 I62 I67 I72 I77">
    <cfRule type="cellIs" dxfId="57" priority="52" operator="equal">
      <formula>0</formula>
    </cfRule>
  </conditionalFormatting>
  <conditionalFormatting sqref="K47 K52 K57 K62 K67 K72 K77">
    <cfRule type="cellIs" dxfId="56" priority="48" operator="equal">
      <formula>"Atención Inmediata"</formula>
    </cfRule>
    <cfRule type="cellIs" dxfId="55" priority="49" operator="equal">
      <formula>"Minimizarlo"</formula>
    </cfRule>
    <cfRule type="cellIs" dxfId="54" priority="50" operator="equal">
      <formula>"Controlarlo"</formula>
    </cfRule>
    <cfRule type="cellIs" dxfId="53" priority="51" operator="equal">
      <formula>"Asumirlo"</formula>
    </cfRule>
  </conditionalFormatting>
  <conditionalFormatting sqref="K47 K52 K57 K62 K67 K72 K77">
    <cfRule type="cellIs" dxfId="52" priority="39" operator="equal">
      <formula>"A CONSIDERAR"</formula>
    </cfRule>
    <cfRule type="containsText" dxfId="51" priority="40" operator="containsText" text="Explotarla">
      <formula>NOT(ISERROR(SEARCH("Explotarla",K47)))</formula>
    </cfRule>
    <cfRule type="containsText" dxfId="50" priority="41" operator="containsText" text="Apropiarse">
      <formula>NOT(ISERROR(SEARCH("Apropiarse",K47)))</formula>
    </cfRule>
    <cfRule type="containsText" dxfId="49" priority="42" operator="containsText" text="ABORDAR">
      <formula>NOT(ISERROR(SEARCH("ABORDAR",K47)))</formula>
    </cfRule>
    <cfRule type="containsText" dxfId="48" priority="43" operator="containsText" text="ANALIZAR">
      <formula>NOT(ISERROR(SEARCH("ANALIZAR",K47)))</formula>
    </cfRule>
    <cfRule type="cellIs" dxfId="47" priority="44" operator="equal">
      <formula>"Atención Inmediata"</formula>
    </cfRule>
    <cfRule type="cellIs" dxfId="46" priority="45" operator="equal">
      <formula>"Minimizarlo"</formula>
    </cfRule>
    <cfRule type="cellIs" dxfId="45" priority="46" operator="equal">
      <formula>"Controlarlo"</formula>
    </cfRule>
    <cfRule type="cellIs" dxfId="44" priority="47" operator="equal">
      <formula>"Asumirlo"</formula>
    </cfRule>
  </conditionalFormatting>
  <conditionalFormatting sqref="J47 J52 J57 J62 J67 J72 J77">
    <cfRule type="cellIs" dxfId="43" priority="35" operator="equal">
      <formula>"Intolerable"</formula>
    </cfRule>
    <cfRule type="cellIs" dxfId="42" priority="36" operator="equal">
      <formula>"Importante"</formula>
    </cfRule>
    <cfRule type="cellIs" dxfId="41" priority="37" operator="equal">
      <formula>"Moderado"</formula>
    </cfRule>
    <cfRule type="cellIs" dxfId="40" priority="38" operator="equal">
      <formula>"Tolerable"</formula>
    </cfRule>
  </conditionalFormatting>
  <conditionalFormatting sqref="J47 J52 J57 J62 J67 J72 J77">
    <cfRule type="cellIs" dxfId="39" priority="27" operator="equal">
      <formula>"Limitada"</formula>
    </cfRule>
    <cfRule type="cellIs" dxfId="38" priority="28" operator="equal">
      <formula>"Media"</formula>
    </cfRule>
    <cfRule type="cellIs" dxfId="37" priority="29" operator="equal">
      <formula>"Potencial"</formula>
    </cfRule>
    <cfRule type="cellIs" dxfId="36" priority="30" operator="equal">
      <formula>"Tolerable"</formula>
    </cfRule>
    <cfRule type="cellIs" dxfId="35" priority="31" operator="equal">
      <formula>"Sobresaliente"</formula>
    </cfRule>
    <cfRule type="cellIs" dxfId="34" priority="32" operator="equal">
      <formula>"Moderado"</formula>
    </cfRule>
    <cfRule type="cellIs" dxfId="33" priority="33" operator="equal">
      <formula>"Importante"</formula>
    </cfRule>
    <cfRule type="cellIs" dxfId="32" priority="34" operator="equal">
      <formula>"Intolerable"</formula>
    </cfRule>
  </conditionalFormatting>
  <conditionalFormatting sqref="I8 I28 I33 I38 I13 I18 I23">
    <cfRule type="cellIs" dxfId="31" priority="26" operator="equal">
      <formula>0</formula>
    </cfRule>
  </conditionalFormatting>
  <conditionalFormatting sqref="K8 K28 K33 K38 K13 K18 K23">
    <cfRule type="cellIs" dxfId="30" priority="22" operator="equal">
      <formula>"Atención Inmediata"</formula>
    </cfRule>
    <cfRule type="cellIs" dxfId="29" priority="23" operator="equal">
      <formula>"Minimizarlo"</formula>
    </cfRule>
    <cfRule type="cellIs" dxfId="28" priority="24" operator="equal">
      <formula>"Controlarlo"</formula>
    </cfRule>
    <cfRule type="cellIs" dxfId="27" priority="25" operator="equal">
      <formula>"Asumirlo"</formula>
    </cfRule>
  </conditionalFormatting>
  <conditionalFormatting sqref="K8 K28 K33 K38 K13 K18 K23">
    <cfRule type="cellIs" dxfId="26" priority="13" operator="equal">
      <formula>"A CONSIDERAR"</formula>
    </cfRule>
    <cfRule type="containsText" dxfId="25" priority="14" operator="containsText" text="Explotarla">
      <formula>NOT(ISERROR(SEARCH("Explotarla",K8)))</formula>
    </cfRule>
    <cfRule type="containsText" dxfId="24" priority="15" operator="containsText" text="Apropiarse">
      <formula>NOT(ISERROR(SEARCH("Apropiarse",K8)))</formula>
    </cfRule>
    <cfRule type="containsText" dxfId="23" priority="16" operator="containsText" text="ABORDAR">
      <formula>NOT(ISERROR(SEARCH("ABORDAR",K8)))</formula>
    </cfRule>
    <cfRule type="containsText" dxfId="22" priority="17" operator="containsText" text="ANALIZAR">
      <formula>NOT(ISERROR(SEARCH("ANALIZAR",K8)))</formula>
    </cfRule>
    <cfRule type="cellIs" dxfId="21" priority="18" operator="equal">
      <formula>"Atención Inmediata"</formula>
    </cfRule>
    <cfRule type="cellIs" dxfId="20" priority="19" operator="equal">
      <formula>"Minimizarlo"</formula>
    </cfRule>
    <cfRule type="cellIs" dxfId="19" priority="20" operator="equal">
      <formula>"Controlarlo"</formula>
    </cfRule>
    <cfRule type="cellIs" dxfId="18" priority="21" operator="equal">
      <formula>"Asumirlo"</formula>
    </cfRule>
  </conditionalFormatting>
  <conditionalFormatting sqref="J8 J28 J33 J38 J13 J18 J23">
    <cfRule type="cellIs" dxfId="17" priority="9" operator="equal">
      <formula>"Intolerable"</formula>
    </cfRule>
    <cfRule type="cellIs" dxfId="16" priority="10" operator="equal">
      <formula>"Importante"</formula>
    </cfRule>
    <cfRule type="cellIs" dxfId="15" priority="11" operator="equal">
      <formula>"Moderado"</formula>
    </cfRule>
    <cfRule type="cellIs" dxfId="14" priority="12" operator="equal">
      <formula>"Tolerable"</formula>
    </cfRule>
  </conditionalFormatting>
  <conditionalFormatting sqref="J8 J28 J33 J38 J13 J18 J23">
    <cfRule type="cellIs" dxfId="13" priority="1" operator="equal">
      <formula>"Limitada"</formula>
    </cfRule>
    <cfRule type="cellIs" dxfId="12" priority="2" operator="equal">
      <formula>"Media"</formula>
    </cfRule>
    <cfRule type="cellIs" dxfId="11" priority="3" operator="equal">
      <formula>"Potencial"</formula>
    </cfRule>
    <cfRule type="cellIs" dxfId="10" priority="4" operator="equal">
      <formula>"Tolerable"</formula>
    </cfRule>
    <cfRule type="cellIs" dxfId="9" priority="5" operator="equal">
      <formula>"Sobresaliente"</formula>
    </cfRule>
    <cfRule type="cellIs" dxfId="8" priority="6" operator="equal">
      <formula>"Moderado"</formula>
    </cfRule>
    <cfRule type="cellIs" dxfId="7" priority="7" operator="equal">
      <formula>"Importante"</formula>
    </cfRule>
    <cfRule type="cellIs" dxfId="6" priority="8" operator="equal">
      <formula>"Intolerable"</formula>
    </cfRule>
  </conditionalFormatting>
  <dataValidations disablePrompts="1" count="5">
    <dataValidation type="list" allowBlank="1" showInputMessage="1" showErrorMessage="1" sqref="H47 H52 H57 H62 H67 H72 H77 H33 H38 H8 H13 H18 H23 H28">
      <formula1>"Tecnológicos, Político, Social/Cultural, Industrial, Operativo, Institucional, Financiera, Ambiental, Legal y Reglamentario, Salud"</formula1>
    </dataValidation>
    <dataValidation type="list" allowBlank="1" showInputMessage="1" showErrorMessage="1" sqref="D47 D52 D57 D62 D67 D72 D77 D33 D38 D8 D13 D18 D23 D28">
      <formula1>"Baja, Media, Alta"</formula1>
    </dataValidation>
    <dataValidation type="list" allowBlank="1" showInputMessage="1" showErrorMessage="1" sqref="A33 A38 A8 A13 A18 A23 A28 A47 A52 A57 A62 A67 A72 A77">
      <formula1>"Riesgo,Oportunidad"</formula1>
    </dataValidation>
    <dataValidation type="list" allowBlank="1" showInputMessage="1" showErrorMessage="1" sqref="G47:G81">
      <formula1>"Leve, Moderado,Importante"</formula1>
    </dataValidation>
    <dataValidation type="list" allowBlank="1" showInputMessage="1" showErrorMessage="1" sqref="G8:G42">
      <formula1>"Leve, Moderado,Grave"</formula1>
    </dataValidation>
  </dataValidations>
  <pageMargins left="0.25" right="0.25" top="0.75" bottom="0.47" header="0.3" footer="0.3"/>
  <pageSetup scale="3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A1:K32"/>
  <sheetViews>
    <sheetView showGridLines="0" tabSelected="1" showRuler="0" view="pageBreakPreview" zoomScale="80" zoomScaleNormal="90" zoomScaleSheetLayoutView="80" zoomScalePageLayoutView="85" workbookViewId="0">
      <selection activeCell="M39" sqref="M39"/>
    </sheetView>
  </sheetViews>
  <sheetFormatPr baseColWidth="10" defaultColWidth="11.42578125" defaultRowHeight="14.25" x14ac:dyDescent="0.25"/>
  <cols>
    <col min="1" max="1" width="21" style="10" customWidth="1"/>
    <col min="2" max="2" width="21.140625" style="9" customWidth="1"/>
    <col min="3" max="3" width="15.5703125" style="9" customWidth="1"/>
    <col min="4" max="4" width="51.5703125" style="9" customWidth="1"/>
    <col min="5" max="5" width="45.140625" style="9" customWidth="1"/>
    <col min="6" max="6" width="4.140625" style="9" customWidth="1"/>
    <col min="7" max="7" width="26.5703125" style="9" customWidth="1"/>
    <col min="8" max="8" width="18.5703125" style="9" customWidth="1"/>
    <col min="9" max="9" width="16.140625" style="9" customWidth="1"/>
    <col min="10" max="10" width="64" style="9" customWidth="1"/>
    <col min="11" max="11" width="42" style="9" customWidth="1"/>
    <col min="12" max="16384" width="11.42578125" style="9"/>
  </cols>
  <sheetData>
    <row r="1" spans="1:11" ht="62.45" customHeight="1" x14ac:dyDescent="0.25">
      <c r="A1" s="132"/>
      <c r="B1" s="132"/>
      <c r="C1" s="132"/>
      <c r="D1" s="135" t="s">
        <v>169</v>
      </c>
      <c r="E1" s="136"/>
      <c r="F1" s="136"/>
      <c r="G1" s="136"/>
      <c r="H1" s="136"/>
      <c r="I1" s="136"/>
      <c r="J1" s="136"/>
      <c r="K1" s="69" t="s">
        <v>146</v>
      </c>
    </row>
    <row r="2" spans="1:11" ht="39" customHeight="1" x14ac:dyDescent="0.25">
      <c r="A2" s="132"/>
      <c r="B2" s="132"/>
      <c r="C2" s="132"/>
      <c r="D2" s="136" t="s">
        <v>84</v>
      </c>
      <c r="E2" s="136"/>
      <c r="F2" s="136"/>
      <c r="G2" s="136"/>
      <c r="H2" s="136"/>
      <c r="I2" s="136"/>
      <c r="J2" s="136"/>
      <c r="K2" s="76" t="s">
        <v>147</v>
      </c>
    </row>
    <row r="4" spans="1:11" ht="32.25" customHeight="1" thickBot="1" x14ac:dyDescent="0.3">
      <c r="A4" s="137" t="s">
        <v>48</v>
      </c>
      <c r="B4" s="137"/>
      <c r="C4" s="137"/>
      <c r="D4" s="137"/>
      <c r="E4" s="137"/>
      <c r="G4" s="137" t="s">
        <v>28</v>
      </c>
      <c r="H4" s="137"/>
      <c r="I4" s="137"/>
      <c r="J4" s="137"/>
      <c r="K4" s="137"/>
    </row>
    <row r="5" spans="1:11" ht="41.25" customHeight="1" thickTop="1" x14ac:dyDescent="0.25">
      <c r="A5" s="11" t="s">
        <v>29</v>
      </c>
      <c r="B5" s="133" t="s">
        <v>47</v>
      </c>
      <c r="C5" s="133"/>
      <c r="D5" s="133"/>
      <c r="E5" s="134"/>
      <c r="F5" s="12"/>
      <c r="G5" s="11" t="s">
        <v>29</v>
      </c>
      <c r="H5" s="110" t="s">
        <v>47</v>
      </c>
      <c r="I5" s="110"/>
      <c r="J5" s="110"/>
      <c r="K5" s="111"/>
    </row>
    <row r="6" spans="1:11" ht="65.25" customHeight="1" x14ac:dyDescent="0.25">
      <c r="A6" s="13" t="s">
        <v>32</v>
      </c>
      <c r="B6" s="131" t="s">
        <v>59</v>
      </c>
      <c r="C6" s="112"/>
      <c r="D6" s="112"/>
      <c r="E6" s="113"/>
      <c r="F6" s="12"/>
      <c r="G6" s="13" t="s">
        <v>32</v>
      </c>
      <c r="H6" s="114" t="s">
        <v>61</v>
      </c>
      <c r="I6" s="114"/>
      <c r="J6" s="114"/>
      <c r="K6" s="115"/>
    </row>
    <row r="7" spans="1:11" ht="44.25" customHeight="1" x14ac:dyDescent="0.25">
      <c r="A7" s="13" t="s">
        <v>9</v>
      </c>
      <c r="B7" s="131" t="s">
        <v>170</v>
      </c>
      <c r="C7" s="112"/>
      <c r="D7" s="112"/>
      <c r="E7" s="113"/>
      <c r="F7" s="12"/>
      <c r="G7" s="13" t="s">
        <v>9</v>
      </c>
      <c r="H7" s="114" t="s">
        <v>174</v>
      </c>
      <c r="I7" s="114"/>
      <c r="J7" s="114"/>
      <c r="K7" s="115"/>
    </row>
    <row r="8" spans="1:11" ht="65.25" customHeight="1" x14ac:dyDescent="0.25">
      <c r="A8" s="13" t="s">
        <v>10</v>
      </c>
      <c r="B8" s="131" t="s">
        <v>81</v>
      </c>
      <c r="C8" s="112"/>
      <c r="D8" s="112"/>
      <c r="E8" s="113"/>
      <c r="F8" s="12"/>
      <c r="G8" s="13" t="s">
        <v>10</v>
      </c>
      <c r="H8" s="114" t="s">
        <v>175</v>
      </c>
      <c r="I8" s="114"/>
      <c r="J8" s="114"/>
      <c r="K8" s="115"/>
    </row>
    <row r="9" spans="1:11" ht="48.75" customHeight="1" x14ac:dyDescent="0.25">
      <c r="A9" s="13" t="s">
        <v>33</v>
      </c>
      <c r="B9" s="131" t="s">
        <v>82</v>
      </c>
      <c r="C9" s="112"/>
      <c r="D9" s="112"/>
      <c r="E9" s="113"/>
      <c r="F9" s="12"/>
      <c r="G9" s="13" t="s">
        <v>33</v>
      </c>
      <c r="H9" s="114" t="s">
        <v>83</v>
      </c>
      <c r="I9" s="114"/>
      <c r="J9" s="114"/>
      <c r="K9" s="115"/>
    </row>
    <row r="10" spans="1:11" ht="51" customHeight="1" x14ac:dyDescent="0.25">
      <c r="A10" s="13" t="s">
        <v>6</v>
      </c>
      <c r="B10" s="131" t="s">
        <v>58</v>
      </c>
      <c r="C10" s="112"/>
      <c r="D10" s="112"/>
      <c r="E10" s="113"/>
      <c r="F10" s="12"/>
      <c r="G10" s="13" t="s">
        <v>6</v>
      </c>
      <c r="H10" s="114" t="s">
        <v>60</v>
      </c>
      <c r="I10" s="114"/>
      <c r="J10" s="114"/>
      <c r="K10" s="115"/>
    </row>
    <row r="11" spans="1:11" ht="42" customHeight="1" x14ac:dyDescent="0.25">
      <c r="A11" s="13" t="s">
        <v>51</v>
      </c>
      <c r="B11" s="131" t="s">
        <v>171</v>
      </c>
      <c r="C11" s="112"/>
      <c r="D11" s="112"/>
      <c r="E11" s="113"/>
      <c r="F11" s="14"/>
      <c r="G11" s="13" t="s">
        <v>51</v>
      </c>
      <c r="H11" s="114" t="s">
        <v>176</v>
      </c>
      <c r="I11" s="114"/>
      <c r="J11" s="114"/>
      <c r="K11" s="115"/>
    </row>
    <row r="12" spans="1:11" ht="42" customHeight="1" x14ac:dyDescent="0.2">
      <c r="A12" s="29" t="s">
        <v>63</v>
      </c>
      <c r="B12" s="107" t="s">
        <v>65</v>
      </c>
      <c r="C12" s="107"/>
      <c r="D12" s="107"/>
      <c r="E12" s="108"/>
      <c r="F12" s="14"/>
      <c r="G12" s="29" t="s">
        <v>63</v>
      </c>
      <c r="H12" s="109" t="s">
        <v>64</v>
      </c>
      <c r="I12" s="107"/>
      <c r="J12" s="107"/>
      <c r="K12" s="108"/>
    </row>
    <row r="13" spans="1:11" ht="42" customHeight="1" x14ac:dyDescent="0.2">
      <c r="A13" s="29" t="s">
        <v>66</v>
      </c>
      <c r="B13" s="126" t="s">
        <v>172</v>
      </c>
      <c r="C13" s="126"/>
      <c r="D13" s="126"/>
      <c r="E13" s="127"/>
      <c r="F13" s="14"/>
      <c r="G13" s="29" t="s">
        <v>66</v>
      </c>
      <c r="H13" s="128" t="s">
        <v>177</v>
      </c>
      <c r="I13" s="129"/>
      <c r="J13" s="129"/>
      <c r="K13" s="130"/>
    </row>
    <row r="14" spans="1:11" ht="44.25" customHeight="1" thickBot="1" x14ac:dyDescent="0.3">
      <c r="A14" s="15" t="s">
        <v>34</v>
      </c>
      <c r="B14" s="122" t="s">
        <v>173</v>
      </c>
      <c r="C14" s="105"/>
      <c r="D14" s="105"/>
      <c r="E14" s="106"/>
      <c r="F14" s="12"/>
      <c r="G14" s="15" t="s">
        <v>34</v>
      </c>
      <c r="H14" s="105" t="s">
        <v>236</v>
      </c>
      <c r="I14" s="105"/>
      <c r="J14" s="105"/>
      <c r="K14" s="106"/>
    </row>
    <row r="15" spans="1:11" ht="12" customHeight="1" thickTop="1" thickBot="1" x14ac:dyDescent="0.3">
      <c r="A15" s="16"/>
      <c r="B15" s="12"/>
      <c r="C15" s="17"/>
      <c r="D15" s="17"/>
      <c r="E15" s="17"/>
      <c r="F15" s="17"/>
      <c r="G15" s="17"/>
      <c r="H15" s="17"/>
      <c r="I15" s="17"/>
      <c r="J15" s="17"/>
      <c r="K15" s="17"/>
    </row>
    <row r="16" spans="1:11" ht="24.75" customHeight="1" thickTop="1" x14ac:dyDescent="0.25">
      <c r="A16" s="77" t="s">
        <v>71</v>
      </c>
      <c r="B16" s="123" t="s">
        <v>47</v>
      </c>
      <c r="C16" s="124"/>
      <c r="D16" s="124"/>
      <c r="E16" s="125"/>
      <c r="F16" s="12"/>
      <c r="G16" s="27" t="s">
        <v>71</v>
      </c>
      <c r="H16" s="110" t="s">
        <v>47</v>
      </c>
      <c r="I16" s="110"/>
      <c r="J16" s="110"/>
      <c r="K16" s="111"/>
    </row>
    <row r="17" spans="1:11" x14ac:dyDescent="0.25">
      <c r="A17" s="78" t="s">
        <v>16</v>
      </c>
      <c r="B17" s="116" t="s">
        <v>52</v>
      </c>
      <c r="C17" s="117"/>
      <c r="D17" s="117"/>
      <c r="E17" s="118"/>
      <c r="F17" s="12"/>
      <c r="G17" s="13" t="s">
        <v>16</v>
      </c>
      <c r="H17" s="114" t="s">
        <v>53</v>
      </c>
      <c r="I17" s="114"/>
      <c r="J17" s="114"/>
      <c r="K17" s="115"/>
    </row>
    <row r="18" spans="1:11" x14ac:dyDescent="0.25">
      <c r="A18" s="78" t="s">
        <v>15</v>
      </c>
      <c r="B18" s="116" t="s">
        <v>54</v>
      </c>
      <c r="C18" s="117"/>
      <c r="D18" s="117"/>
      <c r="E18" s="118"/>
      <c r="F18" s="18"/>
      <c r="G18" s="13" t="s">
        <v>15</v>
      </c>
      <c r="H18" s="114" t="s">
        <v>55</v>
      </c>
      <c r="I18" s="114"/>
      <c r="J18" s="114"/>
      <c r="K18" s="115"/>
    </row>
    <row r="19" spans="1:11" ht="33.75" customHeight="1" thickBot="1" x14ac:dyDescent="0.3">
      <c r="A19" s="79" t="s">
        <v>12</v>
      </c>
      <c r="B19" s="119" t="s">
        <v>56</v>
      </c>
      <c r="C19" s="120"/>
      <c r="D19" s="120"/>
      <c r="E19" s="121"/>
      <c r="F19" s="12"/>
      <c r="G19" s="15" t="s">
        <v>12</v>
      </c>
      <c r="H19" s="105" t="s">
        <v>57</v>
      </c>
      <c r="I19" s="105"/>
      <c r="J19" s="105"/>
      <c r="K19" s="106"/>
    </row>
    <row r="20" spans="1:11" ht="15.75" thickTop="1" thickBot="1" x14ac:dyDescent="0.3">
      <c r="A20" s="16"/>
      <c r="B20" s="12"/>
      <c r="C20" s="17"/>
      <c r="D20" s="17"/>
      <c r="E20" s="17"/>
      <c r="F20" s="12"/>
      <c r="G20" s="16"/>
      <c r="H20" s="12"/>
      <c r="I20" s="17"/>
      <c r="J20" s="17"/>
      <c r="K20" s="17"/>
    </row>
    <row r="21" spans="1:11" ht="15" thickTop="1" x14ac:dyDescent="0.25">
      <c r="A21" s="11" t="s">
        <v>74</v>
      </c>
      <c r="B21" s="110" t="s">
        <v>47</v>
      </c>
      <c r="C21" s="110"/>
      <c r="D21" s="110"/>
      <c r="E21" s="111"/>
      <c r="F21" s="12"/>
      <c r="G21" s="11" t="s">
        <v>74</v>
      </c>
      <c r="H21" s="110" t="s">
        <v>47</v>
      </c>
      <c r="I21" s="110"/>
      <c r="J21" s="110"/>
      <c r="K21" s="111"/>
    </row>
    <row r="22" spans="1:11" ht="51" customHeight="1" x14ac:dyDescent="0.25">
      <c r="A22" s="30" t="s">
        <v>13</v>
      </c>
      <c r="B22" s="112" t="s">
        <v>75</v>
      </c>
      <c r="C22" s="112"/>
      <c r="D22" s="112"/>
      <c r="E22" s="113"/>
      <c r="F22" s="12"/>
      <c r="G22" s="13" t="s">
        <v>13</v>
      </c>
      <c r="H22" s="114" t="s">
        <v>78</v>
      </c>
      <c r="I22" s="114"/>
      <c r="J22" s="114"/>
      <c r="K22" s="115"/>
    </row>
    <row r="23" spans="1:11" ht="51" customHeight="1" x14ac:dyDescent="0.25">
      <c r="A23" s="31" t="s">
        <v>4</v>
      </c>
      <c r="B23" s="114" t="s">
        <v>76</v>
      </c>
      <c r="C23" s="114"/>
      <c r="D23" s="114"/>
      <c r="E23" s="115"/>
      <c r="F23" s="12"/>
      <c r="G23" s="13" t="s">
        <v>4</v>
      </c>
      <c r="H23" s="114" t="s">
        <v>79</v>
      </c>
      <c r="I23" s="114"/>
      <c r="J23" s="114"/>
      <c r="K23" s="115"/>
    </row>
    <row r="24" spans="1:11" ht="51" customHeight="1" thickBot="1" x14ac:dyDescent="0.3">
      <c r="A24" s="32" t="s">
        <v>14</v>
      </c>
      <c r="B24" s="105" t="s">
        <v>77</v>
      </c>
      <c r="C24" s="105"/>
      <c r="D24" s="105"/>
      <c r="E24" s="106"/>
      <c r="F24" s="12"/>
      <c r="G24" s="15" t="s">
        <v>62</v>
      </c>
      <c r="H24" s="105" t="s">
        <v>80</v>
      </c>
      <c r="I24" s="105"/>
      <c r="J24" s="105"/>
      <c r="K24" s="106"/>
    </row>
    <row r="25" spans="1:11" ht="15.75" thickTop="1" thickBot="1" x14ac:dyDescent="0.3">
      <c r="A25" s="16"/>
      <c r="B25" s="12"/>
      <c r="C25" s="17"/>
      <c r="D25" s="17"/>
      <c r="E25" s="17"/>
      <c r="F25" s="12"/>
      <c r="G25" s="16"/>
      <c r="H25" s="12"/>
      <c r="I25" s="17"/>
      <c r="J25" s="17"/>
      <c r="K25" s="17"/>
    </row>
    <row r="26" spans="1:11" ht="30.75" customHeight="1" thickTop="1" x14ac:dyDescent="0.25">
      <c r="A26" s="11" t="s">
        <v>49</v>
      </c>
      <c r="B26" s="28" t="s">
        <v>30</v>
      </c>
      <c r="C26" s="28" t="s">
        <v>31</v>
      </c>
      <c r="D26" s="67" t="s">
        <v>50</v>
      </c>
      <c r="E26" s="80"/>
      <c r="F26" s="12"/>
      <c r="G26" s="11" t="s">
        <v>49</v>
      </c>
      <c r="H26" s="66" t="s">
        <v>30</v>
      </c>
      <c r="I26" s="66" t="s">
        <v>31</v>
      </c>
      <c r="J26" s="82" t="s">
        <v>50</v>
      </c>
      <c r="K26" s="83"/>
    </row>
    <row r="27" spans="1:11" ht="54.75" customHeight="1" x14ac:dyDescent="0.25">
      <c r="A27" s="13" t="s">
        <v>17</v>
      </c>
      <c r="B27" s="19" t="s">
        <v>24</v>
      </c>
      <c r="C27" s="19" t="s">
        <v>2</v>
      </c>
      <c r="D27" s="68" t="s">
        <v>216</v>
      </c>
      <c r="E27" s="81"/>
      <c r="F27" s="12"/>
      <c r="G27" s="13" t="s">
        <v>35</v>
      </c>
      <c r="H27" s="20" t="s">
        <v>36</v>
      </c>
      <c r="I27" s="20" t="s">
        <v>37</v>
      </c>
      <c r="J27" s="85" t="s">
        <v>126</v>
      </c>
      <c r="K27" s="84"/>
    </row>
    <row r="28" spans="1:11" ht="63.75" x14ac:dyDescent="0.25">
      <c r="A28" s="13" t="s">
        <v>18</v>
      </c>
      <c r="B28" s="21" t="s">
        <v>25</v>
      </c>
      <c r="C28" s="21" t="s">
        <v>1</v>
      </c>
      <c r="D28" s="68" t="s">
        <v>122</v>
      </c>
      <c r="E28" s="81"/>
      <c r="F28" s="12"/>
      <c r="G28" s="13" t="s">
        <v>38</v>
      </c>
      <c r="H28" s="22" t="s">
        <v>39</v>
      </c>
      <c r="I28" s="22" t="s">
        <v>40</v>
      </c>
      <c r="J28" s="70" t="s">
        <v>178</v>
      </c>
      <c r="K28" s="84"/>
    </row>
    <row r="29" spans="1:11" ht="67.5" customHeight="1" x14ac:dyDescent="0.25">
      <c r="A29" s="13" t="s">
        <v>19</v>
      </c>
      <c r="B29" s="23" t="s">
        <v>0</v>
      </c>
      <c r="C29" s="23" t="s">
        <v>23</v>
      </c>
      <c r="D29" s="68" t="s">
        <v>217</v>
      </c>
      <c r="E29" s="81"/>
      <c r="F29" s="12"/>
      <c r="G29" s="13" t="s">
        <v>41</v>
      </c>
      <c r="H29" s="24" t="s">
        <v>42</v>
      </c>
      <c r="I29" s="24" t="s">
        <v>43</v>
      </c>
      <c r="J29" s="70" t="s">
        <v>125</v>
      </c>
      <c r="K29" s="84"/>
    </row>
    <row r="30" spans="1:11" ht="66.75" customHeight="1" thickBot="1" x14ac:dyDescent="0.3">
      <c r="A30" s="13" t="s">
        <v>20</v>
      </c>
      <c r="B30" s="25" t="s">
        <v>26</v>
      </c>
      <c r="C30" s="25" t="s">
        <v>3</v>
      </c>
      <c r="D30" s="68" t="s">
        <v>89</v>
      </c>
      <c r="E30" s="81"/>
      <c r="F30" s="12"/>
      <c r="G30" s="15" t="s">
        <v>44</v>
      </c>
      <c r="H30" s="61" t="s">
        <v>45</v>
      </c>
      <c r="I30" s="61" t="s">
        <v>46</v>
      </c>
      <c r="J30" s="71" t="s">
        <v>124</v>
      </c>
      <c r="K30" s="84"/>
    </row>
    <row r="31" spans="1:11" ht="78.75" customHeight="1" thickTop="1" thickBot="1" x14ac:dyDescent="0.3">
      <c r="A31" s="15" t="s">
        <v>21</v>
      </c>
      <c r="B31" s="26" t="s">
        <v>27</v>
      </c>
      <c r="C31" s="26" t="s">
        <v>22</v>
      </c>
      <c r="D31" s="68" t="s">
        <v>123</v>
      </c>
      <c r="E31" s="81"/>
      <c r="F31" s="12"/>
    </row>
    <row r="32" spans="1:11" ht="15" thickTop="1" x14ac:dyDescent="0.25"/>
  </sheetData>
  <mergeCells count="41">
    <mergeCell ref="A1:C2"/>
    <mergeCell ref="B5:E5"/>
    <mergeCell ref="H5:K5"/>
    <mergeCell ref="B6:E6"/>
    <mergeCell ref="D1:J1"/>
    <mergeCell ref="D2:J2"/>
    <mergeCell ref="A4:E4"/>
    <mergeCell ref="G4:K4"/>
    <mergeCell ref="H6:K6"/>
    <mergeCell ref="B7:E7"/>
    <mergeCell ref="H7:K7"/>
    <mergeCell ref="B11:E11"/>
    <mergeCell ref="H11:K11"/>
    <mergeCell ref="B8:E8"/>
    <mergeCell ref="H8:K8"/>
    <mergeCell ref="B9:E9"/>
    <mergeCell ref="H9:K9"/>
    <mergeCell ref="B10:E10"/>
    <mergeCell ref="H10:K10"/>
    <mergeCell ref="B14:E14"/>
    <mergeCell ref="H14:K14"/>
    <mergeCell ref="B16:E16"/>
    <mergeCell ref="H16:K16"/>
    <mergeCell ref="B13:E13"/>
    <mergeCell ref="H13:K13"/>
    <mergeCell ref="B24:E24"/>
    <mergeCell ref="H24:K24"/>
    <mergeCell ref="B12:E12"/>
    <mergeCell ref="H12:K12"/>
    <mergeCell ref="B21:E21"/>
    <mergeCell ref="H21:K21"/>
    <mergeCell ref="B22:E22"/>
    <mergeCell ref="H22:K22"/>
    <mergeCell ref="B23:E23"/>
    <mergeCell ref="H23:K23"/>
    <mergeCell ref="B17:E17"/>
    <mergeCell ref="H17:K17"/>
    <mergeCell ref="B18:E18"/>
    <mergeCell ref="H18:K18"/>
    <mergeCell ref="B19:E19"/>
    <mergeCell ref="H19:K19"/>
  </mergeCells>
  <printOptions horizontalCentered="1" verticalCentered="1"/>
  <pageMargins left="0.70866141732283472" right="0.70866141732283472" top="0.3950892857142857" bottom="0.74803149606299213" header="0.31496062992125984" footer="0.31496062992125984"/>
  <pageSetup scale="3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Q13"/>
  <sheetViews>
    <sheetView topLeftCell="G1" workbookViewId="0">
      <selection activeCell="G5" sqref="G5"/>
    </sheetView>
  </sheetViews>
  <sheetFormatPr baseColWidth="10" defaultColWidth="11.42578125" defaultRowHeight="15" x14ac:dyDescent="0.25"/>
  <cols>
    <col min="1" max="1" width="14.140625" customWidth="1"/>
  </cols>
  <sheetData>
    <row r="1" spans="1:17" x14ac:dyDescent="0.25">
      <c r="A1" s="206" t="s">
        <v>70</v>
      </c>
      <c r="B1" s="207"/>
      <c r="D1" s="206" t="s">
        <v>69</v>
      </c>
      <c r="E1" s="207"/>
      <c r="G1" s="206" t="s">
        <v>68</v>
      </c>
      <c r="H1" s="207"/>
      <c r="J1" s="2"/>
      <c r="K1" s="2"/>
      <c r="L1" s="2"/>
      <c r="M1" s="2"/>
      <c r="N1" s="2"/>
      <c r="O1" s="2"/>
      <c r="P1" s="2"/>
      <c r="Q1" s="2"/>
    </row>
    <row r="2" spans="1:17" x14ac:dyDescent="0.25">
      <c r="A2" s="1" t="s">
        <v>8</v>
      </c>
      <c r="B2">
        <v>5</v>
      </c>
      <c r="D2" s="1" t="s">
        <v>16</v>
      </c>
      <c r="E2">
        <v>1</v>
      </c>
      <c r="G2" s="1" t="s">
        <v>13</v>
      </c>
      <c r="H2" s="94">
        <v>1</v>
      </c>
      <c r="J2" s="5"/>
      <c r="K2" s="5"/>
      <c r="L2" s="5"/>
      <c r="M2" s="5"/>
      <c r="N2" s="5"/>
      <c r="O2" s="5"/>
      <c r="P2" s="5"/>
      <c r="Q2" s="5"/>
    </row>
    <row r="3" spans="1:17" x14ac:dyDescent="0.25">
      <c r="A3" s="1" t="s">
        <v>6</v>
      </c>
      <c r="B3">
        <v>5</v>
      </c>
      <c r="D3" s="1" t="s">
        <v>15</v>
      </c>
      <c r="E3">
        <v>7</v>
      </c>
      <c r="G3" s="1" t="s">
        <v>4</v>
      </c>
      <c r="H3" s="94">
        <v>7</v>
      </c>
      <c r="J3" s="5"/>
      <c r="K3" s="5"/>
      <c r="L3" s="5"/>
      <c r="M3" s="5"/>
      <c r="N3" s="5"/>
      <c r="O3" s="5"/>
      <c r="P3" s="5"/>
      <c r="Q3" s="5"/>
    </row>
    <row r="4" spans="1:17" ht="15" customHeight="1" x14ac:dyDescent="0.25">
      <c r="A4" s="1" t="s">
        <v>5</v>
      </c>
      <c r="B4">
        <v>10</v>
      </c>
      <c r="D4" s="1" t="s">
        <v>12</v>
      </c>
      <c r="E4">
        <v>10</v>
      </c>
      <c r="G4" s="1" t="s">
        <v>14</v>
      </c>
      <c r="H4" s="94">
        <v>10</v>
      </c>
      <c r="J4" s="5"/>
      <c r="K4" s="5"/>
      <c r="L4" s="6"/>
      <c r="M4" s="6"/>
      <c r="N4" s="6"/>
      <c r="O4" s="6"/>
      <c r="P4" s="6"/>
      <c r="Q4" s="6"/>
    </row>
    <row r="5" spans="1:17" ht="15" customHeight="1" x14ac:dyDescent="0.25">
      <c r="A5" s="1" t="s">
        <v>51</v>
      </c>
      <c r="B5">
        <v>8</v>
      </c>
      <c r="G5" s="1" t="s">
        <v>62</v>
      </c>
      <c r="H5" s="94">
        <v>10</v>
      </c>
      <c r="J5" s="5"/>
      <c r="K5" s="5"/>
      <c r="L5" s="6"/>
      <c r="M5" s="6"/>
      <c r="N5" s="6"/>
      <c r="O5" s="6"/>
      <c r="P5" s="6"/>
      <c r="Q5" s="6"/>
    </row>
    <row r="6" spans="1:17" x14ac:dyDescent="0.25">
      <c r="A6" s="1" t="s">
        <v>7</v>
      </c>
      <c r="B6">
        <v>7</v>
      </c>
      <c r="J6" s="5"/>
      <c r="K6" s="5"/>
      <c r="L6" s="5"/>
      <c r="M6" s="5"/>
      <c r="N6" s="5"/>
      <c r="O6" s="5"/>
      <c r="P6" s="5"/>
      <c r="Q6" s="5"/>
    </row>
    <row r="7" spans="1:17" x14ac:dyDescent="0.25">
      <c r="A7" s="1" t="s">
        <v>9</v>
      </c>
      <c r="B7">
        <v>8</v>
      </c>
      <c r="J7" s="5"/>
      <c r="K7" s="5"/>
      <c r="L7" s="5"/>
      <c r="M7" s="5"/>
      <c r="N7" s="5"/>
      <c r="O7" s="5"/>
      <c r="P7" s="5"/>
      <c r="Q7" s="5"/>
    </row>
    <row r="8" spans="1:17" ht="30" x14ac:dyDescent="0.25">
      <c r="A8" s="1" t="s">
        <v>10</v>
      </c>
      <c r="B8">
        <v>9</v>
      </c>
      <c r="J8" s="2"/>
      <c r="K8" s="2"/>
      <c r="L8" s="2"/>
      <c r="M8" s="2"/>
      <c r="N8" s="2"/>
      <c r="O8" s="2"/>
      <c r="P8" s="2"/>
      <c r="Q8" s="2"/>
    </row>
    <row r="9" spans="1:17" x14ac:dyDescent="0.25">
      <c r="A9" s="1" t="s">
        <v>11</v>
      </c>
      <c r="B9">
        <v>10</v>
      </c>
      <c r="J9" s="2"/>
      <c r="K9" s="2"/>
      <c r="L9" s="2"/>
      <c r="M9" s="2"/>
      <c r="N9" s="2"/>
      <c r="O9" s="2"/>
      <c r="P9" s="2"/>
      <c r="Q9" s="2"/>
    </row>
    <row r="10" spans="1:17" x14ac:dyDescent="0.25">
      <c r="A10" s="3" t="s">
        <v>63</v>
      </c>
      <c r="B10">
        <v>6</v>
      </c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3" t="s">
        <v>66</v>
      </c>
      <c r="B11">
        <v>6</v>
      </c>
      <c r="J11" s="2"/>
      <c r="K11" s="2"/>
      <c r="L11" s="2"/>
      <c r="M11" s="2"/>
      <c r="N11" s="2"/>
      <c r="O11" s="2"/>
      <c r="P11" s="2"/>
      <c r="Q11" s="2"/>
    </row>
    <row r="12" spans="1:17" x14ac:dyDescent="0.25">
      <c r="J12" s="2"/>
      <c r="K12" s="2"/>
      <c r="L12" s="2"/>
      <c r="M12" s="2"/>
      <c r="N12" s="2"/>
      <c r="O12" s="2"/>
      <c r="P12" s="2"/>
      <c r="Q12" s="2"/>
    </row>
    <row r="13" spans="1:17" x14ac:dyDescent="0.25">
      <c r="I13" s="4"/>
      <c r="J13" s="2"/>
      <c r="K13" s="2"/>
      <c r="L13" s="2"/>
      <c r="M13" s="2"/>
      <c r="N13" s="2"/>
      <c r="O13" s="2"/>
      <c r="P13" s="2"/>
      <c r="Q13" s="2"/>
    </row>
  </sheetData>
  <mergeCells count="3">
    <mergeCell ref="G1:H1"/>
    <mergeCell ref="A1:B1"/>
    <mergeCell ref="D1:E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1"/>
  <sheetViews>
    <sheetView showGridLines="0" view="pageBreakPreview" zoomScaleSheetLayoutView="100" workbookViewId="0">
      <selection activeCell="C10" sqref="C10"/>
    </sheetView>
  </sheetViews>
  <sheetFormatPr baseColWidth="10" defaultColWidth="11.42578125" defaultRowHeight="14.25" x14ac:dyDescent="0.2"/>
  <cols>
    <col min="1" max="1" width="15.85546875" style="33" customWidth="1"/>
    <col min="2" max="2" width="21.5703125" style="33" customWidth="1"/>
    <col min="3" max="6" width="15.5703125" style="33" customWidth="1"/>
    <col min="7" max="7" width="14.5703125" style="33" customWidth="1"/>
    <col min="8" max="8" width="16.140625" style="33" customWidth="1"/>
    <col min="9" max="16384" width="11.42578125" style="33"/>
  </cols>
  <sheetData>
    <row r="1" spans="1:8" ht="44.25" customHeight="1" x14ac:dyDescent="0.2">
      <c r="A1" s="241"/>
      <c r="B1" s="241"/>
      <c r="C1" s="236" t="s">
        <v>169</v>
      </c>
      <c r="D1" s="236"/>
      <c r="E1" s="236"/>
      <c r="F1" s="236"/>
      <c r="G1" s="241" t="s">
        <v>146</v>
      </c>
      <c r="H1" s="241"/>
    </row>
    <row r="2" spans="1:8" ht="30" customHeight="1" x14ac:dyDescent="0.2">
      <c r="A2" s="241"/>
      <c r="B2" s="241"/>
      <c r="C2" s="237" t="s">
        <v>131</v>
      </c>
      <c r="D2" s="237"/>
      <c r="E2" s="237"/>
      <c r="F2" s="237"/>
      <c r="G2" s="244" t="s">
        <v>148</v>
      </c>
      <c r="H2" s="244"/>
    </row>
    <row r="3" spans="1:8" ht="15" thickBot="1" x14ac:dyDescent="0.25">
      <c r="A3" s="45"/>
      <c r="B3" s="36"/>
      <c r="C3" s="36"/>
      <c r="D3" s="36"/>
      <c r="E3" s="36"/>
      <c r="F3" s="36"/>
      <c r="G3" s="36"/>
      <c r="H3" s="46"/>
    </row>
    <row r="4" spans="1:8" ht="15.75" thickTop="1" x14ac:dyDescent="0.25">
      <c r="A4" s="47" t="s">
        <v>120</v>
      </c>
      <c r="B4" s="42"/>
      <c r="C4" s="41" t="s">
        <v>119</v>
      </c>
      <c r="D4" s="242"/>
      <c r="E4" s="242"/>
      <c r="F4" s="41" t="s">
        <v>118</v>
      </c>
      <c r="G4" s="242"/>
      <c r="H4" s="243"/>
    </row>
    <row r="5" spans="1:8" ht="15.75" customHeight="1" x14ac:dyDescent="0.25">
      <c r="A5" s="245" t="s">
        <v>117</v>
      </c>
      <c r="B5" s="246"/>
      <c r="C5" s="246"/>
      <c r="D5" s="238"/>
      <c r="E5" s="239"/>
      <c r="F5" s="239"/>
      <c r="G5" s="239"/>
      <c r="H5" s="240"/>
    </row>
    <row r="6" spans="1:8" ht="15.75" customHeight="1" x14ac:dyDescent="0.2">
      <c r="A6" s="233"/>
      <c r="B6" s="234"/>
      <c r="C6" s="234"/>
      <c r="D6" s="234"/>
      <c r="E6" s="234"/>
      <c r="F6" s="234"/>
      <c r="G6" s="234"/>
      <c r="H6" s="235"/>
    </row>
    <row r="7" spans="1:8" ht="15" x14ac:dyDescent="0.2">
      <c r="A7" s="215" t="s">
        <v>121</v>
      </c>
      <c r="B7" s="216" t="s">
        <v>128</v>
      </c>
      <c r="C7" s="216" t="s">
        <v>116</v>
      </c>
      <c r="D7" s="216"/>
      <c r="E7" s="216"/>
      <c r="F7" s="216"/>
      <c r="G7" s="216" t="s">
        <v>115</v>
      </c>
      <c r="H7" s="211" t="s">
        <v>114</v>
      </c>
    </row>
    <row r="8" spans="1:8" ht="15" x14ac:dyDescent="0.2">
      <c r="A8" s="215"/>
      <c r="B8" s="216"/>
      <c r="C8" s="40">
        <v>1</v>
      </c>
      <c r="D8" s="40">
        <v>2</v>
      </c>
      <c r="E8" s="40">
        <v>3</v>
      </c>
      <c r="F8" s="40">
        <v>4</v>
      </c>
      <c r="G8" s="216"/>
      <c r="H8" s="211"/>
    </row>
    <row r="9" spans="1:8" ht="78.75" x14ac:dyDescent="0.2">
      <c r="A9" s="48" t="str">
        <f>'Matriz Riesgo y Op'!M8</f>
        <v>Oficios y correos electrónicos de la renuncia.</v>
      </c>
      <c r="B9" s="208" t="str">
        <f>'Matriz Riesgo y Op'!C8</f>
        <v>Módulo operando con la plantilla incompleta</v>
      </c>
      <c r="C9" s="38"/>
      <c r="D9" s="38"/>
      <c r="E9" s="38"/>
      <c r="F9" s="38"/>
      <c r="G9" s="39"/>
      <c r="H9" s="49"/>
    </row>
    <row r="10" spans="1:8" ht="173.25" x14ac:dyDescent="0.2">
      <c r="A10" s="48" t="str">
        <f>'Matriz Riesgo y Op'!M9</f>
        <v>Oficios y correos electrónicos de la rescisión del contrato, en su caso, las constancias que justifiquen dicha acción.</v>
      </c>
      <c r="B10" s="209"/>
      <c r="C10" s="38"/>
      <c r="D10" s="38"/>
      <c r="E10" s="38"/>
      <c r="F10" s="38"/>
      <c r="G10" s="39"/>
      <c r="H10" s="49"/>
    </row>
    <row r="11" spans="1:8" ht="15.75" x14ac:dyDescent="0.2">
      <c r="A11" s="48">
        <f>'Matriz Riesgo y Op'!M10</f>
        <v>0</v>
      </c>
      <c r="B11" s="209"/>
      <c r="C11" s="38"/>
      <c r="D11" s="38"/>
      <c r="E11" s="38"/>
      <c r="F11" s="38"/>
      <c r="G11" s="39"/>
      <c r="H11" s="49"/>
    </row>
    <row r="12" spans="1:8" ht="15.75" x14ac:dyDescent="0.2">
      <c r="A12" s="48">
        <f>'Matriz Riesgo y Op'!M11</f>
        <v>0</v>
      </c>
      <c r="B12" s="209"/>
      <c r="C12" s="38"/>
      <c r="D12" s="38"/>
      <c r="E12" s="38"/>
      <c r="F12" s="38"/>
      <c r="G12" s="39"/>
      <c r="H12" s="49"/>
    </row>
    <row r="13" spans="1:8" ht="15.75" x14ac:dyDescent="0.2">
      <c r="A13" s="48">
        <f>'Matriz Riesgo y Op'!M12</f>
        <v>0</v>
      </c>
      <c r="B13" s="210"/>
      <c r="C13" s="64"/>
      <c r="D13" s="64"/>
      <c r="E13" s="64"/>
      <c r="F13" s="64"/>
      <c r="G13" s="62"/>
      <c r="H13" s="63"/>
    </row>
    <row r="14" spans="1:8" ht="63" x14ac:dyDescent="0.2">
      <c r="A14" s="48" t="str">
        <f>'Matriz Riesgo y Op'!M13</f>
        <v>Realizar la difusión en los medios existentes.</v>
      </c>
      <c r="B14" s="208" t="str">
        <f>'Matriz Riesgo y Op'!C13</f>
        <v>Aspirantes a cubrir la plaza nulos o limitados</v>
      </c>
      <c r="C14" s="101"/>
      <c r="D14" s="101"/>
      <c r="E14" s="101"/>
      <c r="F14" s="101"/>
      <c r="G14" s="99"/>
      <c r="H14" s="100"/>
    </row>
    <row r="15" spans="1:8" ht="173.25" x14ac:dyDescent="0.2">
      <c r="A15" s="48" t="str">
        <f>'Matriz Riesgo y Op'!M14</f>
        <v>Asegurar evidencias por medio de Oficios y correos electrónicos sobre la publicación de la convocatoria.</v>
      </c>
      <c r="B15" s="209"/>
      <c r="C15" s="101"/>
      <c r="D15" s="101"/>
      <c r="E15" s="101"/>
      <c r="F15" s="101"/>
      <c r="G15" s="99"/>
      <c r="H15" s="100"/>
    </row>
    <row r="16" spans="1:8" ht="173.25" x14ac:dyDescent="0.2">
      <c r="A16" s="48" t="str">
        <f>'Matriz Riesgo y Op'!M15</f>
        <v>Constancias de evidencias de los medios mediante los cuales se difunda la invitación o convocatoria.</v>
      </c>
      <c r="B16" s="209"/>
      <c r="C16" s="101"/>
      <c r="D16" s="101"/>
      <c r="E16" s="101"/>
      <c r="F16" s="101"/>
      <c r="G16" s="99"/>
      <c r="H16" s="100"/>
    </row>
    <row r="17" spans="1:8" ht="15.75" x14ac:dyDescent="0.2">
      <c r="A17" s="48">
        <f>'Matriz Riesgo y Op'!M16</f>
        <v>0</v>
      </c>
      <c r="B17" s="209"/>
      <c r="C17" s="101"/>
      <c r="D17" s="101"/>
      <c r="E17" s="101"/>
      <c r="F17" s="101"/>
      <c r="G17" s="99"/>
      <c r="H17" s="100"/>
    </row>
    <row r="18" spans="1:8" ht="15.75" x14ac:dyDescent="0.2">
      <c r="A18" s="48">
        <f>'Matriz Riesgo y Op'!M17</f>
        <v>0</v>
      </c>
      <c r="B18" s="210"/>
      <c r="C18" s="101"/>
      <c r="D18" s="101"/>
      <c r="E18" s="101"/>
      <c r="F18" s="101"/>
      <c r="G18" s="99"/>
      <c r="H18" s="100"/>
    </row>
    <row r="19" spans="1:8" ht="189" x14ac:dyDescent="0.2">
      <c r="A19" s="48" t="str">
        <f>'Matriz Riesgo y Op'!M18</f>
        <v>Solicitudes y Cédulas del Cargo debidamente requisitadas (que el perfil, funciones y responsabilidades correspondan al cargo vacante).</v>
      </c>
      <c r="B19" s="208" t="str">
        <f>'Matriz Riesgo y Op'!C18</f>
        <v>Selección de personal con el perfil no adecuado</v>
      </c>
      <c r="C19" s="101"/>
      <c r="D19" s="101"/>
      <c r="E19" s="101"/>
      <c r="F19" s="101"/>
      <c r="G19" s="99"/>
      <c r="H19" s="100"/>
    </row>
    <row r="20" spans="1:8" ht="15.75" x14ac:dyDescent="0.2">
      <c r="A20" s="48">
        <f>'Matriz Riesgo y Op'!M19</f>
        <v>0</v>
      </c>
      <c r="B20" s="209"/>
      <c r="C20" s="101"/>
      <c r="D20" s="101"/>
      <c r="E20" s="101"/>
      <c r="F20" s="101"/>
      <c r="G20" s="99"/>
      <c r="H20" s="100"/>
    </row>
    <row r="21" spans="1:8" ht="15.75" x14ac:dyDescent="0.2">
      <c r="A21" s="48">
        <f>'Matriz Riesgo y Op'!M20</f>
        <v>0</v>
      </c>
      <c r="B21" s="209"/>
      <c r="C21" s="101"/>
      <c r="D21" s="101"/>
      <c r="E21" s="101"/>
      <c r="F21" s="101"/>
      <c r="G21" s="99"/>
      <c r="H21" s="100"/>
    </row>
    <row r="22" spans="1:8" ht="15.75" x14ac:dyDescent="0.2">
      <c r="A22" s="48">
        <f>'Matriz Riesgo y Op'!M21</f>
        <v>0</v>
      </c>
      <c r="B22" s="209"/>
      <c r="C22" s="101"/>
      <c r="D22" s="101"/>
      <c r="E22" s="101"/>
      <c r="F22" s="101"/>
      <c r="G22" s="99"/>
      <c r="H22" s="100"/>
    </row>
    <row r="23" spans="1:8" ht="15.75" x14ac:dyDescent="0.2">
      <c r="A23" s="48">
        <f>'Matriz Riesgo y Op'!M22</f>
        <v>0</v>
      </c>
      <c r="B23" s="210"/>
      <c r="C23" s="101"/>
      <c r="D23" s="101"/>
      <c r="E23" s="101"/>
      <c r="F23" s="101"/>
      <c r="G23" s="99"/>
      <c r="H23" s="100"/>
    </row>
    <row r="24" spans="1:8" ht="189" x14ac:dyDescent="0.2">
      <c r="A24" s="48" t="str">
        <f>'Matriz Riesgo y Op'!M23</f>
        <v>Oficios y correos electrónicos sobre la aplicación de los exámenes y test al VRFEL y área administrativa.</v>
      </c>
      <c r="B24" s="208" t="str">
        <f>'Matriz Riesgo y Op'!C23</f>
        <v>Seleccionar a Aspirantes para continuar en el proceso, que no cubran el perfil
requerido para el cargo</v>
      </c>
      <c r="C24" s="101"/>
      <c r="D24" s="101"/>
      <c r="E24" s="101"/>
      <c r="F24" s="101"/>
      <c r="G24" s="99"/>
      <c r="H24" s="100"/>
    </row>
    <row r="25" spans="1:8" ht="15.75" x14ac:dyDescent="0.2">
      <c r="A25" s="48">
        <f>'Matriz Riesgo y Op'!M24</f>
        <v>0</v>
      </c>
      <c r="B25" s="209"/>
      <c r="C25" s="101"/>
      <c r="D25" s="101"/>
      <c r="E25" s="101"/>
      <c r="F25" s="101"/>
      <c r="G25" s="99"/>
      <c r="H25" s="100"/>
    </row>
    <row r="26" spans="1:8" ht="15.75" x14ac:dyDescent="0.2">
      <c r="A26" s="48">
        <f>'Matriz Riesgo y Op'!M25</f>
        <v>0</v>
      </c>
      <c r="B26" s="209"/>
      <c r="C26" s="101"/>
      <c r="D26" s="101"/>
      <c r="E26" s="101"/>
      <c r="F26" s="101"/>
      <c r="G26" s="99"/>
      <c r="H26" s="100"/>
    </row>
    <row r="27" spans="1:8" ht="15.75" x14ac:dyDescent="0.2">
      <c r="A27" s="48">
        <f>'Matriz Riesgo y Op'!M26</f>
        <v>0</v>
      </c>
      <c r="B27" s="209"/>
      <c r="C27" s="101"/>
      <c r="D27" s="101"/>
      <c r="E27" s="101"/>
      <c r="F27" s="101"/>
      <c r="G27" s="99"/>
      <c r="H27" s="100"/>
    </row>
    <row r="28" spans="1:8" ht="15.75" x14ac:dyDescent="0.2">
      <c r="A28" s="48">
        <f>'Matriz Riesgo y Op'!M27</f>
        <v>0</v>
      </c>
      <c r="B28" s="210"/>
      <c r="C28" s="101"/>
      <c r="D28" s="101"/>
      <c r="E28" s="101"/>
      <c r="F28" s="101"/>
      <c r="G28" s="99"/>
      <c r="H28" s="100"/>
    </row>
    <row r="29" spans="1:8" ht="78.75" x14ac:dyDescent="0.2">
      <c r="A29" s="48" t="str">
        <f>'Matriz Riesgo y Op'!M28</f>
        <v>Oficios y correos electrónicos de estatus al VED.</v>
      </c>
      <c r="B29" s="208" t="str">
        <f>'Matriz Riesgo y Op'!C28</f>
        <v>No se cuenta con la certeza del conocimiento del personal evaluado</v>
      </c>
      <c r="C29" s="101"/>
      <c r="D29" s="101"/>
      <c r="E29" s="101"/>
      <c r="F29" s="101"/>
      <c r="G29" s="99"/>
      <c r="H29" s="100"/>
    </row>
    <row r="30" spans="1:8" ht="15.75" x14ac:dyDescent="0.2">
      <c r="A30" s="48">
        <f>'Matriz Riesgo y Op'!M29</f>
        <v>0</v>
      </c>
      <c r="B30" s="209"/>
      <c r="C30" s="101"/>
      <c r="D30" s="101"/>
      <c r="E30" s="101"/>
      <c r="F30" s="101"/>
      <c r="G30" s="99"/>
      <c r="H30" s="100"/>
    </row>
    <row r="31" spans="1:8" ht="15.75" x14ac:dyDescent="0.2">
      <c r="A31" s="48">
        <f>'Matriz Riesgo y Op'!M30</f>
        <v>0</v>
      </c>
      <c r="B31" s="209"/>
      <c r="C31" s="101"/>
      <c r="D31" s="101"/>
      <c r="E31" s="101"/>
      <c r="F31" s="101"/>
      <c r="G31" s="99"/>
      <c r="H31" s="100"/>
    </row>
    <row r="32" spans="1:8" ht="15.75" x14ac:dyDescent="0.2">
      <c r="A32" s="48">
        <f>'Matriz Riesgo y Op'!M31</f>
        <v>0</v>
      </c>
      <c r="B32" s="209"/>
      <c r="C32" s="101"/>
      <c r="D32" s="101"/>
      <c r="E32" s="101"/>
      <c r="F32" s="101"/>
      <c r="G32" s="99"/>
      <c r="H32" s="100"/>
    </row>
    <row r="33" spans="1:8" ht="15.75" x14ac:dyDescent="0.2">
      <c r="A33" s="48">
        <f>'Matriz Riesgo y Op'!M32</f>
        <v>0</v>
      </c>
      <c r="B33" s="210"/>
      <c r="C33" s="101"/>
      <c r="D33" s="101"/>
      <c r="E33" s="101"/>
      <c r="F33" s="101"/>
      <c r="G33" s="99"/>
      <c r="H33" s="100"/>
    </row>
    <row r="34" spans="1:8" ht="47.25" x14ac:dyDescent="0.2">
      <c r="A34" s="48" t="str">
        <f>'Matriz Riesgo y Op'!M33</f>
        <v>Generar cédula de no conformidad.</v>
      </c>
      <c r="B34" s="208" t="str">
        <f>'Matriz Riesgo y Op'!C33</f>
        <v xml:space="preserve">Seleccionar personal sin que se identifiquen sus cualidades o debilidades. </v>
      </c>
      <c r="C34" s="101"/>
      <c r="D34" s="101"/>
      <c r="E34" s="101"/>
      <c r="F34" s="101"/>
      <c r="G34" s="99"/>
      <c r="H34" s="100"/>
    </row>
    <row r="35" spans="1:8" ht="15.75" x14ac:dyDescent="0.2">
      <c r="A35" s="48">
        <f>'Matriz Riesgo y Op'!M34</f>
        <v>0</v>
      </c>
      <c r="B35" s="209"/>
      <c r="C35" s="101"/>
      <c r="D35" s="101"/>
      <c r="E35" s="101"/>
      <c r="F35" s="101"/>
      <c r="G35" s="99"/>
      <c r="H35" s="100"/>
    </row>
    <row r="36" spans="1:8" ht="15.75" x14ac:dyDescent="0.2">
      <c r="A36" s="48">
        <f>'Matriz Riesgo y Op'!M35</f>
        <v>0</v>
      </c>
      <c r="B36" s="209"/>
      <c r="C36" s="101"/>
      <c r="D36" s="101"/>
      <c r="E36" s="101"/>
      <c r="F36" s="101"/>
      <c r="G36" s="99"/>
      <c r="H36" s="100"/>
    </row>
    <row r="37" spans="1:8" ht="15.75" x14ac:dyDescent="0.2">
      <c r="A37" s="48">
        <f>'Matriz Riesgo y Op'!M36</f>
        <v>0</v>
      </c>
      <c r="B37" s="209"/>
      <c r="C37" s="101"/>
      <c r="D37" s="101"/>
      <c r="E37" s="101"/>
      <c r="F37" s="101"/>
      <c r="G37" s="99"/>
      <c r="H37" s="100"/>
    </row>
    <row r="38" spans="1:8" ht="15.75" x14ac:dyDescent="0.2">
      <c r="A38" s="48">
        <f>'Matriz Riesgo y Op'!M37</f>
        <v>0</v>
      </c>
      <c r="B38" s="210"/>
      <c r="C38" s="101"/>
      <c r="D38" s="101"/>
      <c r="E38" s="101"/>
      <c r="F38" s="101"/>
      <c r="G38" s="99"/>
      <c r="H38" s="100"/>
    </row>
    <row r="39" spans="1:8" ht="141.75" x14ac:dyDescent="0.2">
      <c r="A39" s="48" t="str">
        <f>'Matriz Riesgo y Op'!M38</f>
        <v>Oficios y correos electrónicos sobre Aspirantes, designados al área administrativa.</v>
      </c>
      <c r="B39" s="208" t="str">
        <f>'Matriz Riesgo y Op'!C38</f>
        <v>Que el cargo aparezca vacante, cuando ya está designado</v>
      </c>
      <c r="C39" s="101"/>
      <c r="D39" s="101"/>
      <c r="E39" s="101"/>
      <c r="F39" s="101"/>
      <c r="G39" s="99"/>
      <c r="H39" s="100"/>
    </row>
    <row r="40" spans="1:8" ht="78.75" x14ac:dyDescent="0.2">
      <c r="A40" s="48" t="str">
        <f>'Matriz Riesgo y Op'!M39</f>
        <v>Envío de la Lista de reserva al VED, para su publicación.</v>
      </c>
      <c r="B40" s="209"/>
      <c r="C40" s="101"/>
      <c r="D40" s="101"/>
      <c r="E40" s="101"/>
      <c r="F40" s="101"/>
      <c r="G40" s="99"/>
      <c r="H40" s="100"/>
    </row>
    <row r="41" spans="1:8" ht="15.75" x14ac:dyDescent="0.2">
      <c r="A41" s="48">
        <f>'Matriz Riesgo y Op'!M40</f>
        <v>0</v>
      </c>
      <c r="B41" s="209"/>
      <c r="C41" s="101"/>
      <c r="D41" s="101"/>
      <c r="E41" s="101"/>
      <c r="F41" s="101"/>
      <c r="G41" s="99"/>
      <c r="H41" s="100"/>
    </row>
    <row r="42" spans="1:8" ht="15.75" x14ac:dyDescent="0.2">
      <c r="A42" s="48">
        <f>'Matriz Riesgo y Op'!M41</f>
        <v>0</v>
      </c>
      <c r="B42" s="209"/>
      <c r="C42" s="101"/>
      <c r="D42" s="101"/>
      <c r="E42" s="101"/>
      <c r="F42" s="101"/>
      <c r="G42" s="99"/>
      <c r="H42" s="100"/>
    </row>
    <row r="43" spans="1:8" ht="15.75" x14ac:dyDescent="0.2">
      <c r="A43" s="48">
        <f>'Matriz Riesgo y Op'!M42</f>
        <v>0</v>
      </c>
      <c r="B43" s="210"/>
      <c r="C43" s="101"/>
      <c r="D43" s="101"/>
      <c r="E43" s="101"/>
      <c r="F43" s="101"/>
      <c r="G43" s="99"/>
      <c r="H43" s="100"/>
    </row>
    <row r="44" spans="1:8" ht="15" x14ac:dyDescent="0.2">
      <c r="A44" s="212"/>
      <c r="B44" s="213"/>
      <c r="C44" s="213"/>
      <c r="D44" s="213"/>
      <c r="E44" s="213"/>
      <c r="F44" s="213"/>
      <c r="G44" s="213"/>
      <c r="H44" s="214"/>
    </row>
    <row r="45" spans="1:8" ht="43.5" customHeight="1" x14ac:dyDescent="0.2">
      <c r="A45" s="219" t="s">
        <v>113</v>
      </c>
      <c r="B45" s="220"/>
      <c r="C45" s="38">
        <f>SUM(C9:C43)</f>
        <v>0</v>
      </c>
      <c r="D45" s="38">
        <f>SUM(D9:D43)</f>
        <v>0</v>
      </c>
      <c r="E45" s="38">
        <f>SUM(E9:E43)</f>
        <v>0</v>
      </c>
      <c r="F45" s="38">
        <f>SUM(F9:F43)</f>
        <v>0</v>
      </c>
      <c r="G45" s="216" t="s">
        <v>112</v>
      </c>
      <c r="H45" s="232" t="s">
        <v>111</v>
      </c>
    </row>
    <row r="46" spans="1:8" ht="39.75" customHeight="1" x14ac:dyDescent="0.2">
      <c r="A46" s="219" t="s">
        <v>110</v>
      </c>
      <c r="B46" s="220"/>
      <c r="C46" s="231">
        <f>SUM(C45:F45)</f>
        <v>0</v>
      </c>
      <c r="D46" s="231"/>
      <c r="E46" s="231"/>
      <c r="F46" s="231"/>
      <c r="G46" s="216"/>
      <c r="H46" s="232"/>
    </row>
    <row r="47" spans="1:8" ht="34.5" customHeight="1" x14ac:dyDescent="0.2">
      <c r="A47" s="219" t="s">
        <v>109</v>
      </c>
      <c r="B47" s="220"/>
      <c r="C47" s="230" t="s">
        <v>108</v>
      </c>
      <c r="D47" s="231"/>
      <c r="E47" s="231"/>
      <c r="F47" s="231"/>
      <c r="G47" s="213"/>
      <c r="H47" s="214"/>
    </row>
    <row r="48" spans="1:8" ht="39.75" customHeight="1" x14ac:dyDescent="0.2">
      <c r="A48" s="219" t="s">
        <v>107</v>
      </c>
      <c r="B48" s="220"/>
      <c r="C48" s="221" t="e">
        <f xml:space="preserve"> (C46/C47)*100%</f>
        <v>#VALUE!</v>
      </c>
      <c r="D48" s="222"/>
      <c r="E48" s="222"/>
      <c r="F48" s="222"/>
      <c r="G48" s="223" t="s">
        <v>106</v>
      </c>
      <c r="H48" s="224"/>
    </row>
    <row r="49" spans="1:8" ht="15.75" thickBot="1" x14ac:dyDescent="0.25">
      <c r="A49" s="225"/>
      <c r="B49" s="226"/>
      <c r="C49" s="226"/>
      <c r="D49" s="226"/>
      <c r="E49" s="226"/>
      <c r="F49" s="226"/>
      <c r="G49" s="226"/>
      <c r="H49" s="227"/>
    </row>
    <row r="50" spans="1:8" ht="15.75" thickTop="1" thickBot="1" x14ac:dyDescent="0.25">
      <c r="A50" s="45"/>
      <c r="B50" s="36"/>
      <c r="C50" s="36"/>
      <c r="D50" s="36"/>
      <c r="E50" s="36"/>
      <c r="F50" s="36"/>
      <c r="G50" s="36"/>
      <c r="H50" s="46"/>
    </row>
    <row r="51" spans="1:8" ht="17.25" customHeight="1" thickBot="1" x14ac:dyDescent="0.25">
      <c r="A51" s="218" t="s">
        <v>101</v>
      </c>
      <c r="B51" s="218"/>
      <c r="C51" s="218"/>
      <c r="D51" s="218"/>
      <c r="E51" s="218"/>
      <c r="F51" s="43"/>
      <c r="G51" s="228" t="s">
        <v>105</v>
      </c>
      <c r="H51" s="229"/>
    </row>
    <row r="52" spans="1:8" ht="39.950000000000003" customHeight="1" thickBot="1" x14ac:dyDescent="0.25">
      <c r="A52" s="56" t="s">
        <v>96</v>
      </c>
      <c r="B52" s="217" t="s">
        <v>100</v>
      </c>
      <c r="C52" s="217"/>
      <c r="D52" s="217"/>
      <c r="E52" s="217"/>
      <c r="F52" s="9"/>
      <c r="G52" s="44" t="s">
        <v>104</v>
      </c>
      <c r="H52" s="50" t="s">
        <v>12</v>
      </c>
    </row>
    <row r="53" spans="1:8" ht="39.950000000000003" customHeight="1" thickBot="1" x14ac:dyDescent="0.25">
      <c r="A53" s="57" t="s">
        <v>94</v>
      </c>
      <c r="B53" s="217" t="s">
        <v>99</v>
      </c>
      <c r="C53" s="217"/>
      <c r="D53" s="217"/>
      <c r="E53" s="217"/>
      <c r="F53" s="9"/>
      <c r="G53" s="44" t="s">
        <v>103</v>
      </c>
      <c r="H53" s="51" t="s">
        <v>15</v>
      </c>
    </row>
    <row r="54" spans="1:8" ht="39.950000000000003" customHeight="1" thickBot="1" x14ac:dyDescent="0.25">
      <c r="A54" s="58" t="s">
        <v>92</v>
      </c>
      <c r="B54" s="217" t="s">
        <v>98</v>
      </c>
      <c r="C54" s="217"/>
      <c r="D54" s="217"/>
      <c r="E54" s="217"/>
      <c r="F54" s="9"/>
      <c r="G54" s="44" t="s">
        <v>102</v>
      </c>
      <c r="H54" s="52" t="s">
        <v>16</v>
      </c>
    </row>
    <row r="55" spans="1:8" ht="15" x14ac:dyDescent="0.2">
      <c r="A55" s="59"/>
      <c r="B55" s="60"/>
      <c r="C55" s="60"/>
      <c r="D55" s="60"/>
      <c r="E55" s="37"/>
      <c r="F55" s="36"/>
      <c r="G55" s="36"/>
      <c r="H55" s="46"/>
    </row>
    <row r="56" spans="1:8" ht="18" customHeight="1" x14ac:dyDescent="0.2">
      <c r="A56" s="53"/>
      <c r="B56" s="54"/>
      <c r="C56" s="54"/>
      <c r="D56" s="54"/>
      <c r="E56" s="54"/>
      <c r="F56" s="54"/>
      <c r="G56" s="54"/>
      <c r="H56" s="55"/>
    </row>
    <row r="57" spans="1:8" ht="15" x14ac:dyDescent="0.2">
      <c r="C57" s="35"/>
      <c r="D57" s="34"/>
      <c r="E57" s="34"/>
      <c r="F57" s="34"/>
      <c r="G57" s="34"/>
      <c r="H57" s="34"/>
    </row>
    <row r="59" spans="1:8" ht="29.25" customHeight="1" x14ac:dyDescent="0.2"/>
    <row r="60" spans="1:8" ht="40.5" customHeight="1" x14ac:dyDescent="0.2"/>
    <row r="61" spans="1:8" ht="40.5" customHeight="1" x14ac:dyDescent="0.2"/>
  </sheetData>
  <mergeCells count="40">
    <mergeCell ref="A6:H6"/>
    <mergeCell ref="C1:F1"/>
    <mergeCell ref="C2:F2"/>
    <mergeCell ref="D5:H5"/>
    <mergeCell ref="A1:B2"/>
    <mergeCell ref="G4:H4"/>
    <mergeCell ref="G1:H1"/>
    <mergeCell ref="G2:H2"/>
    <mergeCell ref="D4:E4"/>
    <mergeCell ref="A5:C5"/>
    <mergeCell ref="A45:B45"/>
    <mergeCell ref="G45:G46"/>
    <mergeCell ref="H45:H46"/>
    <mergeCell ref="A46:B46"/>
    <mergeCell ref="C46:F46"/>
    <mergeCell ref="G48:H48"/>
    <mergeCell ref="A49:H49"/>
    <mergeCell ref="G51:H51"/>
    <mergeCell ref="A47:B47"/>
    <mergeCell ref="C47:F47"/>
    <mergeCell ref="G47:H47"/>
    <mergeCell ref="B52:E52"/>
    <mergeCell ref="B53:E53"/>
    <mergeCell ref="B54:E54"/>
    <mergeCell ref="A51:E51"/>
    <mergeCell ref="A48:B48"/>
    <mergeCell ref="C48:F48"/>
    <mergeCell ref="B9:B13"/>
    <mergeCell ref="H7:H8"/>
    <mergeCell ref="A44:H44"/>
    <mergeCell ref="A7:A8"/>
    <mergeCell ref="B7:B8"/>
    <mergeCell ref="C7:F7"/>
    <mergeCell ref="G7:G8"/>
    <mergeCell ref="B14:B18"/>
    <mergeCell ref="B19:B23"/>
    <mergeCell ref="B24:B28"/>
    <mergeCell ref="B29:B33"/>
    <mergeCell ref="B34:B38"/>
    <mergeCell ref="B39:B43"/>
  </mergeCells>
  <conditionalFormatting sqref="C48:F48">
    <cfRule type="cellIs" dxfId="5" priority="1" operator="between">
      <formula>0</formula>
      <formula>0.69</formula>
    </cfRule>
    <cfRule type="cellIs" dxfId="4" priority="2" operator="between">
      <formula>0.85</formula>
      <formula>1</formula>
    </cfRule>
    <cfRule type="cellIs" dxfId="3" priority="3" operator="between">
      <formula>0.7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1"/>
  <sheetViews>
    <sheetView showGridLines="0" view="pageBreakPreview" zoomScaleSheetLayoutView="100" workbookViewId="0">
      <selection activeCell="B24" sqref="B24:B28"/>
    </sheetView>
  </sheetViews>
  <sheetFormatPr baseColWidth="10" defaultColWidth="11.42578125" defaultRowHeight="14.25" x14ac:dyDescent="0.2"/>
  <cols>
    <col min="1" max="1" width="15.85546875" style="33" customWidth="1"/>
    <col min="2" max="2" width="21.5703125" style="33" customWidth="1"/>
    <col min="3" max="6" width="15.5703125" style="33" customWidth="1"/>
    <col min="7" max="8" width="14.5703125" style="33" customWidth="1"/>
    <col min="9" max="16384" width="11.42578125" style="33"/>
  </cols>
  <sheetData>
    <row r="1" spans="1:8" ht="45" customHeight="1" x14ac:dyDescent="0.2">
      <c r="A1" s="241"/>
      <c r="B1" s="241"/>
      <c r="C1" s="236" t="s">
        <v>169</v>
      </c>
      <c r="D1" s="236"/>
      <c r="E1" s="236"/>
      <c r="F1" s="236"/>
      <c r="G1" s="241" t="s">
        <v>146</v>
      </c>
      <c r="H1" s="241"/>
    </row>
    <row r="2" spans="1:8" ht="30" customHeight="1" x14ac:dyDescent="0.2">
      <c r="A2" s="241"/>
      <c r="B2" s="241"/>
      <c r="C2" s="237" t="s">
        <v>167</v>
      </c>
      <c r="D2" s="237"/>
      <c r="E2" s="237"/>
      <c r="F2" s="237"/>
      <c r="G2" s="244" t="s">
        <v>148</v>
      </c>
      <c r="H2" s="244"/>
    </row>
    <row r="3" spans="1:8" ht="15" thickBot="1" x14ac:dyDescent="0.25">
      <c r="A3" s="45"/>
      <c r="B3" s="36"/>
      <c r="C3" s="36"/>
      <c r="D3" s="36"/>
      <c r="E3" s="36"/>
      <c r="F3" s="36"/>
      <c r="G3" s="36"/>
      <c r="H3" s="46"/>
    </row>
    <row r="4" spans="1:8" ht="15.75" thickTop="1" x14ac:dyDescent="0.25">
      <c r="A4" s="47" t="s">
        <v>120</v>
      </c>
      <c r="B4" s="42"/>
      <c r="C4" s="41" t="s">
        <v>119</v>
      </c>
      <c r="D4" s="242"/>
      <c r="E4" s="242"/>
      <c r="F4" s="41" t="s">
        <v>118</v>
      </c>
      <c r="G4" s="242"/>
      <c r="H4" s="243"/>
    </row>
    <row r="5" spans="1:8" ht="15.75" customHeight="1" x14ac:dyDescent="0.25">
      <c r="A5" s="245" t="s">
        <v>117</v>
      </c>
      <c r="B5" s="246"/>
      <c r="C5" s="246"/>
      <c r="D5" s="238"/>
      <c r="E5" s="239"/>
      <c r="F5" s="239"/>
      <c r="G5" s="239"/>
      <c r="H5" s="240"/>
    </row>
    <row r="6" spans="1:8" ht="15.75" customHeight="1" x14ac:dyDescent="0.2">
      <c r="A6" s="233"/>
      <c r="B6" s="234"/>
      <c r="C6" s="234"/>
      <c r="D6" s="234"/>
      <c r="E6" s="234"/>
      <c r="F6" s="234"/>
      <c r="G6" s="234"/>
      <c r="H6" s="235"/>
    </row>
    <row r="7" spans="1:8" ht="15" x14ac:dyDescent="0.2">
      <c r="A7" s="215" t="s">
        <v>121</v>
      </c>
      <c r="B7" s="216" t="s">
        <v>127</v>
      </c>
      <c r="C7" s="216" t="s">
        <v>116</v>
      </c>
      <c r="D7" s="216"/>
      <c r="E7" s="216"/>
      <c r="F7" s="216"/>
      <c r="G7" s="216" t="s">
        <v>115</v>
      </c>
      <c r="H7" s="211" t="s">
        <v>114</v>
      </c>
    </row>
    <row r="8" spans="1:8" ht="15" x14ac:dyDescent="0.2">
      <c r="A8" s="215"/>
      <c r="B8" s="216"/>
      <c r="C8" s="65">
        <v>1</v>
      </c>
      <c r="D8" s="65">
        <v>2</v>
      </c>
      <c r="E8" s="65">
        <v>3</v>
      </c>
      <c r="F8" s="65">
        <v>4</v>
      </c>
      <c r="G8" s="216"/>
      <c r="H8" s="211"/>
    </row>
    <row r="9" spans="1:8" ht="94.5" x14ac:dyDescent="0.2">
      <c r="A9" s="48" t="str">
        <f>'Matriz Riesgo y Op'!M47</f>
        <v>Mantener comunicación continúa con el Responsable de Módulo.</v>
      </c>
      <c r="B9" s="208" t="str">
        <f>'Matriz Riesgo y Op'!C47</f>
        <v xml:space="preserve">Tener un seguimiento de la situación de los Funcionarios del Módulo que implique una vacante, para anticiparse a iniciar el proceso </v>
      </c>
      <c r="C9" s="64"/>
      <c r="D9" s="64"/>
      <c r="E9" s="64"/>
      <c r="F9" s="64"/>
      <c r="G9" s="62"/>
      <c r="H9" s="63"/>
    </row>
    <row r="10" spans="1:8" ht="15.75" x14ac:dyDescent="0.2">
      <c r="A10" s="48" t="str">
        <f>'Matriz Riesgo y Op'!M48</f>
        <v xml:space="preserve"> </v>
      </c>
      <c r="B10" s="209"/>
      <c r="C10" s="64"/>
      <c r="D10" s="64"/>
      <c r="E10" s="64"/>
      <c r="F10" s="64"/>
      <c r="G10" s="62"/>
      <c r="H10" s="63"/>
    </row>
    <row r="11" spans="1:8" ht="15.75" x14ac:dyDescent="0.2">
      <c r="A11" s="48">
        <f>'Matriz Riesgo y Op'!M49</f>
        <v>0</v>
      </c>
      <c r="B11" s="209"/>
      <c r="C11" s="64"/>
      <c r="D11" s="64"/>
      <c r="E11" s="64"/>
      <c r="F11" s="64"/>
      <c r="G11" s="62"/>
      <c r="H11" s="63"/>
    </row>
    <row r="12" spans="1:8" ht="15.75" x14ac:dyDescent="0.2">
      <c r="A12" s="48">
        <f>'Matriz Riesgo y Op'!M50</f>
        <v>0</v>
      </c>
      <c r="B12" s="209"/>
      <c r="C12" s="64"/>
      <c r="D12" s="64"/>
      <c r="E12" s="64"/>
      <c r="F12" s="64"/>
      <c r="G12" s="62"/>
      <c r="H12" s="63"/>
    </row>
    <row r="13" spans="1:8" ht="15.75" x14ac:dyDescent="0.2">
      <c r="A13" s="48">
        <f>'Matriz Riesgo y Op'!M51</f>
        <v>0</v>
      </c>
      <c r="B13" s="210"/>
      <c r="C13" s="64"/>
      <c r="D13" s="64"/>
      <c r="E13" s="64"/>
      <c r="F13" s="64"/>
      <c r="G13" s="62"/>
      <c r="H13" s="63"/>
    </row>
    <row r="14" spans="1:8" ht="236.25" x14ac:dyDescent="0.2">
      <c r="A14" s="48" t="str">
        <f>'Matriz Riesgo y Op'!M52</f>
        <v>Asegurar que la Convocatoria se emita con los requisitos claramente detallados, etapas del proceso, etc., así como que se difunda a través de los canales disponibles.</v>
      </c>
      <c r="B14" s="208" t="str">
        <f>'Matriz Riesgo y Op'!C52</f>
        <v>Asegurar la publicación de la convocatoria a través del mayor número de medios disponibles: la página oficial del INE, carteles, redes sociales, boletines de radio, etc.</v>
      </c>
      <c r="C14" s="101"/>
      <c r="D14" s="101"/>
      <c r="E14" s="101"/>
      <c r="F14" s="101"/>
      <c r="G14" s="99"/>
      <c r="H14" s="100"/>
    </row>
    <row r="15" spans="1:8" ht="141.75" x14ac:dyDescent="0.2">
      <c r="A15" s="48" t="str">
        <f>'Matriz Riesgo y Op'!M53</f>
        <v>Seguimiento a la Convocatoria en las plataformas en que se haya difundido la misma.</v>
      </c>
      <c r="B15" s="209"/>
      <c r="C15" s="101"/>
      <c r="D15" s="101"/>
      <c r="E15" s="101"/>
      <c r="F15" s="101"/>
      <c r="G15" s="99"/>
      <c r="H15" s="100"/>
    </row>
    <row r="16" spans="1:8" ht="15.75" x14ac:dyDescent="0.2">
      <c r="A16" s="48">
        <f>'Matriz Riesgo y Op'!M54</f>
        <v>0</v>
      </c>
      <c r="B16" s="209"/>
      <c r="C16" s="101"/>
      <c r="D16" s="101"/>
      <c r="E16" s="101"/>
      <c r="F16" s="101"/>
      <c r="G16" s="99"/>
      <c r="H16" s="100"/>
    </row>
    <row r="17" spans="1:8" ht="15.75" x14ac:dyDescent="0.2">
      <c r="A17" s="48">
        <f>'Matriz Riesgo y Op'!M55</f>
        <v>0</v>
      </c>
      <c r="B17" s="209"/>
      <c r="C17" s="101"/>
      <c r="D17" s="101"/>
      <c r="E17" s="101"/>
      <c r="F17" s="101"/>
      <c r="G17" s="99"/>
      <c r="H17" s="100"/>
    </row>
    <row r="18" spans="1:8" ht="15.75" x14ac:dyDescent="0.2">
      <c r="A18" s="48">
        <f>'Matriz Riesgo y Op'!M56</f>
        <v>0</v>
      </c>
      <c r="B18" s="210"/>
      <c r="C18" s="101"/>
      <c r="D18" s="101"/>
      <c r="E18" s="101"/>
      <c r="F18" s="101"/>
      <c r="G18" s="99"/>
      <c r="H18" s="100"/>
    </row>
    <row r="19" spans="1:8" ht="157.5" x14ac:dyDescent="0.2">
      <c r="A19" s="48" t="str">
        <f>'Matriz Riesgo y Op'!M57</f>
        <v>Revisar y descartar los perfiles de los Aspirantes que no cumplan con el perfil requerido del cargo.</v>
      </c>
      <c r="B19" s="208" t="str">
        <f>'Matriz Riesgo y Op'!C57</f>
        <v>Hacer hincapié al Aspirante de los requisitos solicitados en la convocatoria</v>
      </c>
      <c r="C19" s="101"/>
      <c r="D19" s="101"/>
      <c r="E19" s="101"/>
      <c r="F19" s="101"/>
      <c r="G19" s="99"/>
      <c r="H19" s="100"/>
    </row>
    <row r="20" spans="1:8" ht="15.75" x14ac:dyDescent="0.2">
      <c r="A20" s="48">
        <f>'Matriz Riesgo y Op'!M58</f>
        <v>0</v>
      </c>
      <c r="B20" s="209"/>
      <c r="C20" s="101"/>
      <c r="D20" s="101"/>
      <c r="E20" s="101"/>
      <c r="F20" s="101"/>
      <c r="G20" s="99"/>
      <c r="H20" s="100"/>
    </row>
    <row r="21" spans="1:8" ht="15.75" x14ac:dyDescent="0.2">
      <c r="A21" s="48">
        <f>'Matriz Riesgo y Op'!M59</f>
        <v>0</v>
      </c>
      <c r="B21" s="209"/>
      <c r="C21" s="101"/>
      <c r="D21" s="101"/>
      <c r="E21" s="101"/>
      <c r="F21" s="101"/>
      <c r="G21" s="99"/>
      <c r="H21" s="100"/>
    </row>
    <row r="22" spans="1:8" ht="15.75" x14ac:dyDescent="0.2">
      <c r="A22" s="48">
        <f>'Matriz Riesgo y Op'!M60</f>
        <v>0</v>
      </c>
      <c r="B22" s="209"/>
      <c r="C22" s="101"/>
      <c r="D22" s="101"/>
      <c r="E22" s="101"/>
      <c r="F22" s="101"/>
      <c r="G22" s="99"/>
      <c r="H22" s="100"/>
    </row>
    <row r="23" spans="1:8" ht="15.75" x14ac:dyDescent="0.2">
      <c r="A23" s="48">
        <f>'Matriz Riesgo y Op'!M61</f>
        <v>0</v>
      </c>
      <c r="B23" s="210"/>
      <c r="C23" s="101"/>
      <c r="D23" s="101"/>
      <c r="E23" s="101"/>
      <c r="F23" s="101"/>
      <c r="G23" s="99"/>
      <c r="H23" s="100"/>
    </row>
    <row r="24" spans="1:8" ht="189" x14ac:dyDescent="0.2">
      <c r="A24" s="48" t="str">
        <f>'Matriz Riesgo y Op'!M62</f>
        <v>Solicitar la herramienta que proporcione perfiles específicos, comportamientos, etc., a la Dirección de Operación y Seguimiento.</v>
      </c>
      <c r="B24" s="208" t="str">
        <f>'Matriz Riesgo y Op'!C62</f>
        <v>Instrumentar un modelo de evaluación, que considere todos los criterios a evaluar de acuerdo con lo establecido en la estrategia para obtener el mejor Aspirante</v>
      </c>
      <c r="C24" s="101"/>
      <c r="D24" s="101"/>
      <c r="E24" s="101"/>
      <c r="F24" s="101"/>
      <c r="G24" s="99"/>
      <c r="H24" s="100"/>
    </row>
    <row r="25" spans="1:8" ht="15.75" x14ac:dyDescent="0.2">
      <c r="A25" s="48">
        <f>'Matriz Riesgo y Op'!M63</f>
        <v>0</v>
      </c>
      <c r="B25" s="209"/>
      <c r="C25" s="101"/>
      <c r="D25" s="101"/>
      <c r="E25" s="101"/>
      <c r="F25" s="101"/>
      <c r="G25" s="99"/>
      <c r="H25" s="100"/>
    </row>
    <row r="26" spans="1:8" ht="15.75" x14ac:dyDescent="0.2">
      <c r="A26" s="48">
        <f>'Matriz Riesgo y Op'!M64</f>
        <v>0</v>
      </c>
      <c r="B26" s="209"/>
      <c r="C26" s="101"/>
      <c r="D26" s="101"/>
      <c r="E26" s="101"/>
      <c r="F26" s="101"/>
      <c r="G26" s="99"/>
      <c r="H26" s="100"/>
    </row>
    <row r="27" spans="1:8" ht="15.75" x14ac:dyDescent="0.2">
      <c r="A27" s="48">
        <f>'Matriz Riesgo y Op'!M65</f>
        <v>0</v>
      </c>
      <c r="B27" s="209"/>
      <c r="C27" s="101"/>
      <c r="D27" s="101"/>
      <c r="E27" s="101"/>
      <c r="F27" s="101"/>
      <c r="G27" s="99"/>
      <c r="H27" s="100"/>
    </row>
    <row r="28" spans="1:8" ht="15.75" x14ac:dyDescent="0.2">
      <c r="A28" s="48">
        <f>'Matriz Riesgo y Op'!M66</f>
        <v>0</v>
      </c>
      <c r="B28" s="210"/>
      <c r="C28" s="101"/>
      <c r="D28" s="101"/>
      <c r="E28" s="101"/>
      <c r="F28" s="101"/>
      <c r="G28" s="99"/>
      <c r="H28" s="100"/>
    </row>
    <row r="29" spans="1:8" ht="157.5" x14ac:dyDescent="0.2">
      <c r="A29" s="48" t="str">
        <f>'Matriz Riesgo y Op'!M67</f>
        <v>Asegurar que los resultados se hagan en estrado y en los medios utilizados para la convocatoria.</v>
      </c>
      <c r="B29" s="208" t="str">
        <f>'Matriz Riesgo y Op'!C67</f>
        <v>Asegurar se difundan ampliamente los resultados, ya sea en estrado o hablar directamente con los Aspirantes, para notificar quien pasa a la siguiente etapa</v>
      </c>
      <c r="C29" s="101"/>
      <c r="D29" s="101"/>
      <c r="E29" s="101"/>
      <c r="F29" s="101"/>
      <c r="G29" s="99"/>
      <c r="H29" s="100"/>
    </row>
    <row r="30" spans="1:8" ht="15.75" x14ac:dyDescent="0.2">
      <c r="A30" s="48">
        <f>'Matriz Riesgo y Op'!M68</f>
        <v>0</v>
      </c>
      <c r="B30" s="209"/>
      <c r="C30" s="101"/>
      <c r="D30" s="101"/>
      <c r="E30" s="101"/>
      <c r="F30" s="101"/>
      <c r="G30" s="99"/>
      <c r="H30" s="100"/>
    </row>
    <row r="31" spans="1:8" ht="15.75" x14ac:dyDescent="0.2">
      <c r="A31" s="48">
        <f>'Matriz Riesgo y Op'!M69</f>
        <v>0</v>
      </c>
      <c r="B31" s="209"/>
      <c r="C31" s="101"/>
      <c r="D31" s="101"/>
      <c r="E31" s="101"/>
      <c r="F31" s="101"/>
      <c r="G31" s="99"/>
      <c r="H31" s="100"/>
    </row>
    <row r="32" spans="1:8" ht="15.75" x14ac:dyDescent="0.2">
      <c r="A32" s="48">
        <f>'Matriz Riesgo y Op'!M70</f>
        <v>0</v>
      </c>
      <c r="B32" s="209"/>
      <c r="C32" s="101"/>
      <c r="D32" s="101"/>
      <c r="E32" s="101"/>
      <c r="F32" s="101"/>
      <c r="G32" s="99"/>
      <c r="H32" s="100"/>
    </row>
    <row r="33" spans="1:8" ht="15.75" x14ac:dyDescent="0.2">
      <c r="A33" s="48">
        <f>'Matriz Riesgo y Op'!M71</f>
        <v>0</v>
      </c>
      <c r="B33" s="210"/>
      <c r="C33" s="101"/>
      <c r="D33" s="101"/>
      <c r="E33" s="101"/>
      <c r="F33" s="101"/>
      <c r="G33" s="99"/>
      <c r="H33" s="100"/>
    </row>
    <row r="34" spans="1:8" ht="126" x14ac:dyDescent="0.2">
      <c r="A34" s="48" t="str">
        <f>'Matriz Riesgo y Op'!M72</f>
        <v>Planear la entrevista para asegurar la participación de los involucrados.</v>
      </c>
      <c r="B34" s="208" t="str">
        <f>'Matriz Riesgo y Op'!C72</f>
        <v xml:space="preserve">Asegurar que la entrevista sea aplicada simultáneamente por el VE y el VRFE </v>
      </c>
      <c r="C34" s="101"/>
      <c r="D34" s="101"/>
      <c r="E34" s="101"/>
      <c r="F34" s="101"/>
      <c r="G34" s="99"/>
      <c r="H34" s="100"/>
    </row>
    <row r="35" spans="1:8" ht="15.75" x14ac:dyDescent="0.2">
      <c r="A35" s="48">
        <f>'Matriz Riesgo y Op'!M73</f>
        <v>0</v>
      </c>
      <c r="B35" s="209"/>
      <c r="C35" s="101"/>
      <c r="D35" s="101"/>
      <c r="E35" s="101"/>
      <c r="F35" s="101"/>
      <c r="G35" s="99"/>
      <c r="H35" s="100"/>
    </row>
    <row r="36" spans="1:8" ht="15.75" x14ac:dyDescent="0.2">
      <c r="A36" s="48">
        <f>'Matriz Riesgo y Op'!M74</f>
        <v>0</v>
      </c>
      <c r="B36" s="209"/>
      <c r="C36" s="101"/>
      <c r="D36" s="101"/>
      <c r="E36" s="101"/>
      <c r="F36" s="101"/>
      <c r="G36" s="99"/>
      <c r="H36" s="100"/>
    </row>
    <row r="37" spans="1:8" ht="15.75" x14ac:dyDescent="0.2">
      <c r="A37" s="48">
        <f>'Matriz Riesgo y Op'!M75</f>
        <v>0</v>
      </c>
      <c r="B37" s="209"/>
      <c r="C37" s="101"/>
      <c r="D37" s="101"/>
      <c r="E37" s="101"/>
      <c r="F37" s="101"/>
      <c r="G37" s="99"/>
      <c r="H37" s="100"/>
    </row>
    <row r="38" spans="1:8" ht="15.75" x14ac:dyDescent="0.2">
      <c r="A38" s="48">
        <f>'Matriz Riesgo y Op'!M76</f>
        <v>0</v>
      </c>
      <c r="B38" s="210"/>
      <c r="C38" s="101"/>
      <c r="D38" s="101"/>
      <c r="E38" s="101"/>
      <c r="F38" s="101"/>
      <c r="G38" s="99"/>
      <c r="H38" s="100"/>
    </row>
    <row r="39" spans="1:8" ht="47.25" x14ac:dyDescent="0.2">
      <c r="A39" s="48" t="str">
        <f>'Matriz Riesgo y Op'!M77</f>
        <v xml:space="preserve">Notificar la designación al Aspirante. </v>
      </c>
      <c r="B39" s="208" t="str">
        <f>'Matriz Riesgo y Op'!C77</f>
        <v>Asegurar que la designación del Aspirante y lista de reserva sea confirmada</v>
      </c>
      <c r="C39" s="101"/>
      <c r="D39" s="101"/>
      <c r="E39" s="101"/>
      <c r="F39" s="101"/>
      <c r="G39" s="99"/>
      <c r="H39" s="100"/>
    </row>
    <row r="40" spans="1:8" ht="15.75" x14ac:dyDescent="0.2">
      <c r="A40" s="48">
        <f>'Matriz Riesgo y Op'!M78</f>
        <v>0</v>
      </c>
      <c r="B40" s="209"/>
      <c r="C40" s="101"/>
      <c r="D40" s="101"/>
      <c r="E40" s="101"/>
      <c r="F40" s="101"/>
      <c r="G40" s="99"/>
      <c r="H40" s="100"/>
    </row>
    <row r="41" spans="1:8" ht="15.75" x14ac:dyDescent="0.2">
      <c r="A41" s="48">
        <f>'Matriz Riesgo y Op'!M79</f>
        <v>0</v>
      </c>
      <c r="B41" s="209"/>
      <c r="C41" s="101"/>
      <c r="D41" s="101"/>
      <c r="E41" s="101"/>
      <c r="F41" s="101"/>
      <c r="G41" s="99"/>
      <c r="H41" s="100"/>
    </row>
    <row r="42" spans="1:8" ht="15.75" x14ac:dyDescent="0.2">
      <c r="A42" s="48">
        <f>'Matriz Riesgo y Op'!M80</f>
        <v>0</v>
      </c>
      <c r="B42" s="209"/>
      <c r="C42" s="101"/>
      <c r="D42" s="101"/>
      <c r="E42" s="101"/>
      <c r="F42" s="101"/>
      <c r="G42" s="99"/>
      <c r="H42" s="100"/>
    </row>
    <row r="43" spans="1:8" ht="15.75" x14ac:dyDescent="0.2">
      <c r="A43" s="48">
        <f>'Matriz Riesgo y Op'!M81</f>
        <v>0</v>
      </c>
      <c r="B43" s="210"/>
      <c r="C43" s="101"/>
      <c r="D43" s="101"/>
      <c r="E43" s="101"/>
      <c r="F43" s="101"/>
      <c r="G43" s="99"/>
      <c r="H43" s="100"/>
    </row>
    <row r="44" spans="1:8" ht="15" x14ac:dyDescent="0.2">
      <c r="A44" s="212"/>
      <c r="B44" s="213"/>
      <c r="C44" s="213"/>
      <c r="D44" s="213"/>
      <c r="E44" s="213"/>
      <c r="F44" s="213"/>
      <c r="G44" s="213"/>
      <c r="H44" s="214"/>
    </row>
    <row r="45" spans="1:8" ht="43.5" customHeight="1" x14ac:dyDescent="0.2">
      <c r="A45" s="219" t="s">
        <v>113</v>
      </c>
      <c r="B45" s="220"/>
      <c r="C45" s="64">
        <f>SUM(C9:C43)</f>
        <v>0</v>
      </c>
      <c r="D45" s="64">
        <f>SUM(D9:D43)</f>
        <v>0</v>
      </c>
      <c r="E45" s="64">
        <f>SUM(E9:E43)</f>
        <v>0</v>
      </c>
      <c r="F45" s="64">
        <f>SUM(F9:F43)</f>
        <v>0</v>
      </c>
      <c r="G45" s="216" t="s">
        <v>112</v>
      </c>
      <c r="H45" s="232" t="s">
        <v>111</v>
      </c>
    </row>
    <row r="46" spans="1:8" ht="39.75" customHeight="1" x14ac:dyDescent="0.2">
      <c r="A46" s="219" t="s">
        <v>110</v>
      </c>
      <c r="B46" s="220"/>
      <c r="C46" s="231">
        <f>SUM(C45:F45)</f>
        <v>0</v>
      </c>
      <c r="D46" s="231"/>
      <c r="E46" s="231"/>
      <c r="F46" s="231"/>
      <c r="G46" s="216"/>
      <c r="H46" s="232"/>
    </row>
    <row r="47" spans="1:8" ht="34.5" customHeight="1" x14ac:dyDescent="0.2">
      <c r="A47" s="219" t="s">
        <v>109</v>
      </c>
      <c r="B47" s="220"/>
      <c r="C47" s="230" t="s">
        <v>108</v>
      </c>
      <c r="D47" s="231"/>
      <c r="E47" s="231"/>
      <c r="F47" s="231"/>
      <c r="G47" s="213"/>
      <c r="H47" s="214"/>
    </row>
    <row r="48" spans="1:8" ht="39.75" customHeight="1" x14ac:dyDescent="0.2">
      <c r="A48" s="219" t="s">
        <v>107</v>
      </c>
      <c r="B48" s="220"/>
      <c r="C48" s="221" t="e">
        <f xml:space="preserve"> (C46/C47)*100%</f>
        <v>#VALUE!</v>
      </c>
      <c r="D48" s="222"/>
      <c r="E48" s="222"/>
      <c r="F48" s="222"/>
      <c r="G48" s="223" t="s">
        <v>106</v>
      </c>
      <c r="H48" s="224"/>
    </row>
    <row r="49" spans="1:8" ht="15.75" thickBot="1" x14ac:dyDescent="0.25">
      <c r="A49" s="225"/>
      <c r="B49" s="226"/>
      <c r="C49" s="226"/>
      <c r="D49" s="226"/>
      <c r="E49" s="226"/>
      <c r="F49" s="226"/>
      <c r="G49" s="226"/>
      <c r="H49" s="227"/>
    </row>
    <row r="50" spans="1:8" ht="15.75" thickTop="1" thickBot="1" x14ac:dyDescent="0.25">
      <c r="A50" s="45"/>
      <c r="B50" s="36"/>
      <c r="C50" s="36"/>
      <c r="D50" s="36"/>
      <c r="E50" s="36"/>
      <c r="F50" s="36"/>
      <c r="G50" s="36"/>
      <c r="H50" s="46"/>
    </row>
    <row r="51" spans="1:8" ht="17.25" customHeight="1" thickBot="1" x14ac:dyDescent="0.25">
      <c r="A51" s="218" t="s">
        <v>97</v>
      </c>
      <c r="B51" s="218"/>
      <c r="C51" s="218"/>
      <c r="D51" s="218"/>
      <c r="E51" s="218"/>
      <c r="F51" s="43"/>
      <c r="G51" s="228" t="s">
        <v>105</v>
      </c>
      <c r="H51" s="229"/>
    </row>
    <row r="52" spans="1:8" ht="39.950000000000003" customHeight="1" thickBot="1" x14ac:dyDescent="0.25">
      <c r="A52" s="56" t="s">
        <v>96</v>
      </c>
      <c r="B52" s="217" t="s">
        <v>95</v>
      </c>
      <c r="C52" s="217"/>
      <c r="D52" s="217"/>
      <c r="E52" s="217"/>
      <c r="F52" s="9"/>
      <c r="G52" s="44" t="s">
        <v>104</v>
      </c>
      <c r="H52" s="50" t="s">
        <v>12</v>
      </c>
    </row>
    <row r="53" spans="1:8" ht="48.75" customHeight="1" thickBot="1" x14ac:dyDescent="0.25">
      <c r="A53" s="57" t="s">
        <v>94</v>
      </c>
      <c r="B53" s="217" t="s">
        <v>93</v>
      </c>
      <c r="C53" s="217"/>
      <c r="D53" s="217"/>
      <c r="E53" s="217"/>
      <c r="F53" s="9"/>
      <c r="G53" s="44" t="s">
        <v>103</v>
      </c>
      <c r="H53" s="51" t="s">
        <v>15</v>
      </c>
    </row>
    <row r="54" spans="1:8" ht="54.75" customHeight="1" thickBot="1" x14ac:dyDescent="0.25">
      <c r="A54" s="58" t="s">
        <v>92</v>
      </c>
      <c r="B54" s="217" t="s">
        <v>91</v>
      </c>
      <c r="C54" s="217"/>
      <c r="D54" s="217"/>
      <c r="E54" s="217"/>
      <c r="F54" s="9"/>
      <c r="G54" s="44" t="s">
        <v>102</v>
      </c>
      <c r="H54" s="52" t="s">
        <v>16</v>
      </c>
    </row>
    <row r="55" spans="1:8" ht="15" x14ac:dyDescent="0.2">
      <c r="A55" s="59"/>
      <c r="B55" s="60"/>
      <c r="C55" s="60"/>
      <c r="D55" s="60"/>
      <c r="E55" s="37"/>
      <c r="F55" s="36"/>
      <c r="G55" s="36"/>
      <c r="H55" s="46"/>
    </row>
    <row r="56" spans="1:8" ht="18" customHeight="1" x14ac:dyDescent="0.2">
      <c r="A56" s="53"/>
      <c r="B56" s="54"/>
      <c r="C56" s="54"/>
      <c r="D56" s="54"/>
      <c r="E56" s="54"/>
      <c r="F56" s="54"/>
      <c r="G56" s="54"/>
      <c r="H56" s="55"/>
    </row>
    <row r="57" spans="1:8" ht="15" x14ac:dyDescent="0.2">
      <c r="C57" s="35"/>
      <c r="D57" s="34"/>
      <c r="E57" s="34"/>
      <c r="F57" s="34"/>
      <c r="G57" s="34"/>
      <c r="H57" s="34"/>
    </row>
    <row r="59" spans="1:8" ht="29.25" customHeight="1" x14ac:dyDescent="0.2"/>
    <row r="60" spans="1:8" ht="40.5" customHeight="1" x14ac:dyDescent="0.2"/>
    <row r="61" spans="1:8" ht="40.5" customHeight="1" x14ac:dyDescent="0.2"/>
  </sheetData>
  <mergeCells count="40">
    <mergeCell ref="B9:B13"/>
    <mergeCell ref="G4:H4"/>
    <mergeCell ref="A1:B2"/>
    <mergeCell ref="C1:F1"/>
    <mergeCell ref="A7:A8"/>
    <mergeCell ref="B7:B8"/>
    <mergeCell ref="C7:F7"/>
    <mergeCell ref="D4:E4"/>
    <mergeCell ref="A5:C5"/>
    <mergeCell ref="D5:H5"/>
    <mergeCell ref="A6:H6"/>
    <mergeCell ref="G1:H1"/>
    <mergeCell ref="C2:F2"/>
    <mergeCell ref="G2:H2"/>
    <mergeCell ref="G7:G8"/>
    <mergeCell ref="H7:H8"/>
    <mergeCell ref="B14:B18"/>
    <mergeCell ref="B19:B23"/>
    <mergeCell ref="A51:E51"/>
    <mergeCell ref="B52:E52"/>
    <mergeCell ref="B53:E53"/>
    <mergeCell ref="A44:H44"/>
    <mergeCell ref="A45:B45"/>
    <mergeCell ref="G45:G46"/>
    <mergeCell ref="H45:H46"/>
    <mergeCell ref="A46:B46"/>
    <mergeCell ref="C46:F46"/>
    <mergeCell ref="A47:B47"/>
    <mergeCell ref="C47:F47"/>
    <mergeCell ref="G47:H47"/>
    <mergeCell ref="A48:B48"/>
    <mergeCell ref="C48:F48"/>
    <mergeCell ref="B54:E54"/>
    <mergeCell ref="A49:H49"/>
    <mergeCell ref="G51:H51"/>
    <mergeCell ref="B24:B28"/>
    <mergeCell ref="B29:B33"/>
    <mergeCell ref="B34:B38"/>
    <mergeCell ref="B39:B43"/>
    <mergeCell ref="G48:H48"/>
  </mergeCells>
  <conditionalFormatting sqref="C48:F48">
    <cfRule type="cellIs" dxfId="2" priority="1" operator="between">
      <formula>0</formula>
      <formula>0.69</formula>
    </cfRule>
    <cfRule type="cellIs" dxfId="1" priority="2" operator="between">
      <formula>0.85</formula>
      <formula>1</formula>
    </cfRule>
    <cfRule type="cellIs" dxfId="0" priority="3" operator="between">
      <formula>0.7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7</vt:i4>
      </vt:variant>
    </vt:vector>
  </HeadingPairs>
  <TitlesOfParts>
    <vt:vector size="12" baseType="lpstr">
      <vt:lpstr>Matriz Riesgo y Op</vt:lpstr>
      <vt:lpstr>Parámetros de riesgo</vt:lpstr>
      <vt:lpstr>Ponderación</vt:lpstr>
      <vt:lpstr>E de efectividad Ri</vt:lpstr>
      <vt:lpstr>E de efectividad Op</vt:lpstr>
      <vt:lpstr>'E de efectividad Op'!Área_de_impresión</vt:lpstr>
      <vt:lpstr>'E de efectividad Ri'!Área_de_impresión</vt:lpstr>
      <vt:lpstr>'Matriz Riesgo y Op'!Área_de_impresión</vt:lpstr>
      <vt:lpstr>Entorno</vt:lpstr>
      <vt:lpstr>Impacto</vt:lpstr>
      <vt:lpstr>Naturaleza</vt:lpstr>
      <vt:lpstr>Probabilidad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ricardo.sanchezs@ine.mx</dc:creator>
  <cp:lastModifiedBy>PALACIOS MARTINEZ DANIEL</cp:lastModifiedBy>
  <cp:lastPrinted>2020-07-23T14:57:41Z</cp:lastPrinted>
  <dcterms:created xsi:type="dcterms:W3CDTF">2016-06-29T13:31:45Z</dcterms:created>
  <dcterms:modified xsi:type="dcterms:W3CDTF">2020-07-23T14:57:53Z</dcterms:modified>
</cp:coreProperties>
</file>